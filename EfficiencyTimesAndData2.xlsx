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711834\Documents\"/>
    </mc:Choice>
  </mc:AlternateContent>
  <xr:revisionPtr revIDLastSave="0" documentId="13_ncr:1_{4E9C4943-1269-4DEB-8F8D-6F6FC55258D5}" xr6:coauthVersionLast="47" xr6:coauthVersionMax="47" xr10:uidLastSave="{00000000-0000-0000-0000-000000000000}"/>
  <bookViews>
    <workbookView xWindow="-108" yWindow="-108" windowWidth="23256" windowHeight="13896" xr2:uid="{5BD5D07B-CEB2-477E-82C7-A8899E6CC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M21" i="1"/>
  <c r="M22" i="1"/>
  <c r="R21" i="1"/>
  <c r="R22" i="1"/>
  <c r="R20" i="1"/>
  <c r="R16" i="1"/>
  <c r="R17" i="1"/>
  <c r="R18" i="1"/>
  <c r="M19" i="1"/>
  <c r="D12" i="1"/>
  <c r="E12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21" i="1"/>
  <c r="E21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115" i="1"/>
  <c r="E115" i="1" s="1"/>
  <c r="D116" i="1"/>
  <c r="E116" i="1" s="1"/>
  <c r="J12" i="1" l="1"/>
  <c r="G12" i="1"/>
  <c r="H12" i="1"/>
  <c r="I12" i="1"/>
  <c r="H13" i="1" l="1"/>
  <c r="I13" i="1"/>
  <c r="J13" i="1"/>
</calcChain>
</file>

<file path=xl/sharedStrings.xml><?xml version="1.0" encoding="utf-8"?>
<sst xmlns="http://schemas.openxmlformats.org/spreadsheetml/2006/main" count="88" uniqueCount="75">
  <si>
    <t>Initial Test</t>
  </si>
  <si>
    <t>Scene 1</t>
  </si>
  <si>
    <t>Scene 2</t>
  </si>
  <si>
    <t>Scene 3</t>
  </si>
  <si>
    <t>Always plugged in, window in focus, and at least 10 loops</t>
  </si>
  <si>
    <t>All numbers in ms, mean of loops</t>
  </si>
  <si>
    <t>Data:</t>
  </si>
  <si>
    <t>First loop ignored</t>
  </si>
  <si>
    <t>Pre-calculated Barycentrics</t>
  </si>
  <si>
    <t>Causes small tearing artefacts?</t>
  </si>
  <si>
    <t>Line optimized</t>
  </si>
  <si>
    <t>Causes more artefacts, ignoring 0 triangles now crashes</t>
  </si>
  <si>
    <t>Speedup</t>
  </si>
  <si>
    <t>Slowdown</t>
  </si>
  <si>
    <t>Opt. 1</t>
  </si>
  <si>
    <t>w/o ignore</t>
  </si>
  <si>
    <t>Alt Sc. 3</t>
  </si>
  <si>
    <t>Optim. 2</t>
  </si>
  <si>
    <t>Draw Optimisations</t>
  </si>
  <si>
    <t>Optim. 3</t>
  </si>
  <si>
    <t>2 Bad Threads</t>
  </si>
  <si>
    <t>4 Bad Threads</t>
  </si>
  <si>
    <t>11 Bad Threads</t>
  </si>
  <si>
    <t>22 Bad Threads</t>
  </si>
  <si>
    <t>1 :583.728ms</t>
  </si>
  <si>
    <t>2 :491.526ms</t>
  </si>
  <si>
    <t>3 :353.156ms</t>
  </si>
  <si>
    <t>4 :365.734ms</t>
  </si>
  <si>
    <t>5 :349.3ms</t>
  </si>
  <si>
    <t>6 :401.815ms</t>
  </si>
  <si>
    <t>7 :390.015ms</t>
  </si>
  <si>
    <t>8 :386.725ms</t>
  </si>
  <si>
    <t>9 :396.019ms</t>
  </si>
  <si>
    <t>10 :394.116ms</t>
  </si>
  <si>
    <t>11 :418.629ms</t>
  </si>
  <si>
    <t>12 :380.41ms</t>
  </si>
  <si>
    <t>13 :404.764ms</t>
  </si>
  <si>
    <t>14 :410.329ms</t>
  </si>
  <si>
    <t>15 :447.186ms</t>
  </si>
  <si>
    <t>16 :400.7ms</t>
  </si>
  <si>
    <t>17 :390.067ms</t>
  </si>
  <si>
    <t>18 :384.273ms</t>
  </si>
  <si>
    <t>19 :401.104ms</t>
  </si>
  <si>
    <t>20 :396.471ms</t>
  </si>
  <si>
    <t>21 :445.969ms</t>
  </si>
  <si>
    <t>22 :382.006ms</t>
  </si>
  <si>
    <t>23 :436.437ms</t>
  </si>
  <si>
    <t>24 :422.005ms</t>
  </si>
  <si>
    <t>25 :404.941ms</t>
  </si>
  <si>
    <t>26 :382.329ms</t>
  </si>
  <si>
    <t>27 :364.404ms</t>
  </si>
  <si>
    <t>28 :365.247ms</t>
  </si>
  <si>
    <t>29 :378.696ms</t>
  </si>
  <si>
    <t>30 :360.766ms</t>
  </si>
  <si>
    <t>31 :367.267ms</t>
  </si>
  <si>
    <t>32 :382.697ms</t>
  </si>
  <si>
    <t>33 :345.573ms</t>
  </si>
  <si>
    <t>34 :345.134ms</t>
  </si>
  <si>
    <t>35 :347.737ms</t>
  </si>
  <si>
    <t>36 :368.545ms</t>
  </si>
  <si>
    <t>37 :347.236ms</t>
  </si>
  <si>
    <t>38 :332.801ms</t>
  </si>
  <si>
    <t>39 :349.448ms</t>
  </si>
  <si>
    <t>40 :352.241ms</t>
  </si>
  <si>
    <t>41 :361.844ms</t>
  </si>
  <si>
    <t>42 :379.24ms</t>
  </si>
  <si>
    <t>43 :391.984ms</t>
  </si>
  <si>
    <t>44 :371.899ms</t>
  </si>
  <si>
    <t>45 :396.377ms</t>
  </si>
  <si>
    <t>46 :373.417ms</t>
  </si>
  <si>
    <t>47 :355.076ms</t>
  </si>
  <si>
    <t>48 :394.252ms</t>
  </si>
  <si>
    <t>49 :425.755ms</t>
  </si>
  <si>
    <t>50 :446.433ms</t>
  </si>
  <si>
    <t>51 :481.124ms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</si>
</sst>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12" xfId="1" applyNumberFormat="1" applyFont="1" applyBorder="1"/>
    <xf numFmtId="10" fontId="0" fillId="0" borderId="13" xfId="1" applyNumberFormat="1" applyFont="1" applyBorder="1"/>
    <xf numFmtId="164" fontId="0" fillId="0" borderId="4" xfId="0" applyNumberFormat="1" applyBorder="1"/>
    <xf numFmtId="164" fontId="0" fillId="0" borderId="5" xfId="0" applyNumberFormat="1" applyBorder="1"/>
    <xf numFmtId="0" fontId="0" fillId="0" borderId="1" xfId="0" applyBorder="1"/>
    <xf numFmtId="164" fontId="0" fillId="0" borderId="2" xfId="0" applyNumberFormat="1" applyBorder="1"/>
    <xf numFmtId="164" fontId="0" fillId="0" borderId="3" xfId="0" applyNumberFormat="1" applyBorder="1"/>
    <xf numFmtId="10" fontId="0" fillId="0" borderId="14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1711-1BB8-4589-A8C0-E797B318A73C}">
  <dimension ref="A1:T116"/>
  <sheetViews>
    <sheetView tabSelected="1" workbookViewId="0">
      <selection activeCell="I16" sqref="I16"/>
    </sheetView>
  </sheetViews>
  <sheetFormatPr defaultRowHeight="14.4" x14ac:dyDescent="0.3"/>
  <cols>
    <col min="1" max="1" width="7.44140625" customWidth="1"/>
    <col min="2" max="2" width="9" bestFit="1" customWidth="1"/>
    <col min="3" max="3" width="11.33203125" customWidth="1"/>
    <col min="4" max="4" width="8" bestFit="1" customWidth="1"/>
    <col min="10" max="10" width="7.44140625" customWidth="1"/>
    <col min="11" max="11" width="9" bestFit="1" customWidth="1"/>
    <col min="12" max="12" width="8.33203125" bestFit="1" customWidth="1"/>
    <col min="13" max="13" width="8" bestFit="1" customWidth="1"/>
    <col min="15" max="15" width="7.33203125" bestFit="1" customWidth="1"/>
    <col min="16" max="16" width="9" bestFit="1" customWidth="1"/>
    <col min="17" max="17" width="9.33203125" bestFit="1" customWidth="1"/>
    <col min="18" max="18" width="9.109375" bestFit="1" customWidth="1"/>
    <col min="19" max="19" width="6.5546875" bestFit="1" customWidth="1"/>
    <col min="20" max="20" width="9.33203125" bestFit="1" customWidth="1"/>
    <col min="21" max="21" width="9.109375" bestFit="1" customWidth="1"/>
  </cols>
  <sheetData>
    <row r="1" spans="1:20" x14ac:dyDescent="0.3">
      <c r="B1" t="s">
        <v>0</v>
      </c>
      <c r="C1" t="s">
        <v>8</v>
      </c>
      <c r="D1" t="s">
        <v>10</v>
      </c>
      <c r="E1" t="s">
        <v>18</v>
      </c>
      <c r="F1" t="s">
        <v>20</v>
      </c>
      <c r="G1" t="s">
        <v>21</v>
      </c>
      <c r="H1" t="s">
        <v>22</v>
      </c>
      <c r="I1" t="s">
        <v>23</v>
      </c>
    </row>
    <row r="2" spans="1:20" x14ac:dyDescent="0.3">
      <c r="A2" t="s">
        <v>1</v>
      </c>
      <c r="B2" s="2">
        <v>4.6647999999999996</v>
      </c>
      <c r="C2" s="2">
        <v>3.0416249999999998</v>
      </c>
      <c r="D2" s="2">
        <v>2.5230709999999998</v>
      </c>
      <c r="E2" s="2">
        <v>2.144571</v>
      </c>
      <c r="F2" s="2">
        <v>2.0765880000000001</v>
      </c>
      <c r="G2" s="2">
        <v>2.109772</v>
      </c>
      <c r="H2" s="2"/>
      <c r="I2" s="2">
        <v>3.4989659999999998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t="s">
        <v>2</v>
      </c>
      <c r="B3" s="2">
        <v>1.827099</v>
      </c>
      <c r="C3" s="2">
        <v>1.0811489999999999</v>
      </c>
      <c r="D3" s="2">
        <v>0.87321459999999995</v>
      </c>
      <c r="E3" s="2">
        <v>0.73171379999999997</v>
      </c>
      <c r="F3" s="2">
        <v>0.62990590000000002</v>
      </c>
      <c r="G3" s="2">
        <v>0.41465239999999998</v>
      </c>
      <c r="H3" s="2">
        <v>0.46664149999999999</v>
      </c>
      <c r="I3" s="2">
        <v>0.70142590000000005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t="s">
        <v>3</v>
      </c>
      <c r="B4" s="2">
        <v>11.00719</v>
      </c>
      <c r="C4" s="2">
        <v>10.142440000000001</v>
      </c>
      <c r="D4" s="2">
        <v>10.67651</v>
      </c>
      <c r="E4" s="2">
        <v>10.419269999999999</v>
      </c>
      <c r="F4" s="2">
        <v>9.0070929999999993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t="s">
        <v>16</v>
      </c>
      <c r="B5" s="2">
        <v>13.098000000000001</v>
      </c>
      <c r="C5" s="2">
        <v>12.29393</v>
      </c>
      <c r="D5" s="2">
        <v>12.218629999999999</v>
      </c>
      <c r="E5" s="2">
        <v>12.01618</v>
      </c>
      <c r="F5" s="2">
        <v>10.525869999999999</v>
      </c>
      <c r="G5" s="2">
        <v>10.69753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D6" t="s">
        <v>9</v>
      </c>
      <c r="F6" t="s">
        <v>11</v>
      </c>
    </row>
    <row r="7" spans="1:20" x14ac:dyDescent="0.3">
      <c r="A7" t="s">
        <v>4</v>
      </c>
      <c r="G7" t="s">
        <v>5</v>
      </c>
    </row>
    <row r="8" spans="1:20" x14ac:dyDescent="0.3">
      <c r="G8" t="s">
        <v>7</v>
      </c>
      <c r="L8" s="1"/>
      <c r="M8" s="1"/>
    </row>
    <row r="9" spans="1:20" x14ac:dyDescent="0.3">
      <c r="L9" s="1"/>
    </row>
    <row r="10" spans="1:20" x14ac:dyDescent="0.3">
      <c r="A10" t="s">
        <v>6</v>
      </c>
      <c r="L10" s="1"/>
    </row>
    <row r="11" spans="1:20" x14ac:dyDescent="0.3">
      <c r="L11" s="1"/>
      <c r="M11" s="1"/>
    </row>
    <row r="12" spans="1:20" x14ac:dyDescent="0.3">
      <c r="A12" t="s">
        <v>24</v>
      </c>
      <c r="D12">
        <f>_xlfn.NUMBERVALUE(IFERROR(RIGHT(LEFT(A12, LEN(A12)-2), LEN(A12)-5), ""))</f>
        <v>583.72799999999995</v>
      </c>
      <c r="E12">
        <f>IF(D12=0, "", D12)</f>
        <v>583.72799999999995</v>
      </c>
      <c r="G12">
        <f>AVERAGE(E13:E101)</f>
        <v>388.4243800000001</v>
      </c>
      <c r="H12">
        <f>MEDIAN(E13:E101)</f>
        <v>383.48500000000001</v>
      </c>
      <c r="I12">
        <f>MIN(E13:E101)</f>
        <v>332.80099999999999</v>
      </c>
      <c r="J12">
        <f>MAX(E13:E101)</f>
        <v>491.52600000000001</v>
      </c>
      <c r="L12" s="1"/>
    </row>
    <row r="13" spans="1:20" x14ac:dyDescent="0.3">
      <c r="A13" t="s">
        <v>25</v>
      </c>
      <c r="D13">
        <f t="shared" ref="D13:D20" si="0">_xlfn.NUMBERVALUE(IFERROR(RIGHT(LEFT(A13, LEN(A13)-2), LEN(A13)-5), ""))</f>
        <v>491.52600000000001</v>
      </c>
      <c r="E13">
        <f t="shared" ref="E13:E76" si="1">IF(D13=0, "", D13)</f>
        <v>491.52600000000001</v>
      </c>
      <c r="H13">
        <f>H12/G12</f>
        <v>0.98728354795854967</v>
      </c>
      <c r="I13">
        <f>I12/G12</f>
        <v>0.85679740288186834</v>
      </c>
      <c r="J13">
        <f>J12/G12</f>
        <v>1.2654355012422234</v>
      </c>
      <c r="L13" s="1"/>
    </row>
    <row r="14" spans="1:20" ht="15" thickBot="1" x14ac:dyDescent="0.35">
      <c r="A14" t="s">
        <v>26</v>
      </c>
      <c r="D14">
        <f t="shared" si="0"/>
        <v>353.15600000000001</v>
      </c>
      <c r="E14">
        <f t="shared" si="1"/>
        <v>353.15600000000001</v>
      </c>
      <c r="L14" s="1"/>
    </row>
    <row r="15" spans="1:20" ht="15" thickBot="1" x14ac:dyDescent="0.35">
      <c r="A15" t="s">
        <v>27</v>
      </c>
      <c r="D15">
        <f t="shared" si="0"/>
        <v>365.73399999999998</v>
      </c>
      <c r="E15">
        <f t="shared" si="1"/>
        <v>365.73399999999998</v>
      </c>
      <c r="L15" s="1"/>
      <c r="O15" s="14"/>
      <c r="P15" s="5" t="s">
        <v>0</v>
      </c>
      <c r="Q15" s="6" t="s">
        <v>15</v>
      </c>
      <c r="R15" s="9" t="s">
        <v>13</v>
      </c>
    </row>
    <row r="16" spans="1:20" x14ac:dyDescent="0.3">
      <c r="A16" t="s">
        <v>28</v>
      </c>
      <c r="D16">
        <f t="shared" si="0"/>
        <v>349.3</v>
      </c>
      <c r="E16">
        <f t="shared" si="1"/>
        <v>349.3</v>
      </c>
      <c r="L16" s="1"/>
      <c r="O16" s="7" t="s">
        <v>1</v>
      </c>
      <c r="P16" s="12">
        <v>4.6647999999999996</v>
      </c>
      <c r="Q16" s="3">
        <v>4.8478880000000002</v>
      </c>
      <c r="R16" s="10">
        <f>ABS(P16/Q16-1)</f>
        <v>3.776654906218968E-2</v>
      </c>
    </row>
    <row r="17" spans="1:18" ht="15" thickBot="1" x14ac:dyDescent="0.35">
      <c r="A17" t="s">
        <v>29</v>
      </c>
      <c r="D17">
        <f t="shared" si="0"/>
        <v>401.815</v>
      </c>
      <c r="E17">
        <f t="shared" si="1"/>
        <v>401.815</v>
      </c>
      <c r="L17" s="1"/>
      <c r="M17" s="1"/>
      <c r="O17" s="7" t="s">
        <v>2</v>
      </c>
      <c r="P17" s="12">
        <v>1.827099</v>
      </c>
      <c r="Q17" s="3">
        <v>1.8707020000000001</v>
      </c>
      <c r="R17" s="10">
        <f t="shared" ref="R17:R18" si="2">ABS(P17/Q17-1)</f>
        <v>2.3308362315323405E-2</v>
      </c>
    </row>
    <row r="18" spans="1:18" ht="15" thickBot="1" x14ac:dyDescent="0.35">
      <c r="A18" t="s">
        <v>30</v>
      </c>
      <c r="D18">
        <f t="shared" si="0"/>
        <v>390.01499999999999</v>
      </c>
      <c r="E18">
        <f t="shared" si="1"/>
        <v>390.01499999999999</v>
      </c>
      <c r="J18" s="14"/>
      <c r="K18" s="6" t="s">
        <v>17</v>
      </c>
      <c r="L18" s="6" t="s">
        <v>19</v>
      </c>
      <c r="M18" s="9" t="s">
        <v>12</v>
      </c>
      <c r="O18" s="8" t="s">
        <v>3</v>
      </c>
      <c r="P18" s="13">
        <v>11.00719</v>
      </c>
      <c r="Q18" s="4">
        <v>13.098000000000001</v>
      </c>
      <c r="R18" s="11">
        <f t="shared" si="2"/>
        <v>0.15962818750954355</v>
      </c>
    </row>
    <row r="19" spans="1:18" ht="15" thickBot="1" x14ac:dyDescent="0.35">
      <c r="A19" t="s">
        <v>31</v>
      </c>
      <c r="D19">
        <f t="shared" si="0"/>
        <v>386.72500000000002</v>
      </c>
      <c r="E19">
        <f t="shared" si="1"/>
        <v>386.72500000000002</v>
      </c>
      <c r="J19" s="7" t="s">
        <v>1</v>
      </c>
      <c r="K19" s="15">
        <v>2.5230709999999998</v>
      </c>
      <c r="L19" s="16">
        <v>2.144571</v>
      </c>
      <c r="M19" s="17">
        <f>K19/L19-1</f>
        <v>0.17649217489185465</v>
      </c>
      <c r="O19" s="14"/>
      <c r="P19" s="6" t="s">
        <v>14</v>
      </c>
      <c r="Q19" s="6" t="s">
        <v>15</v>
      </c>
      <c r="R19" s="9" t="s">
        <v>13</v>
      </c>
    </row>
    <row r="20" spans="1:18" x14ac:dyDescent="0.3">
      <c r="A20" t="s">
        <v>32</v>
      </c>
      <c r="D20">
        <f t="shared" si="0"/>
        <v>396.01900000000001</v>
      </c>
      <c r="E20">
        <f t="shared" si="1"/>
        <v>396.01900000000001</v>
      </c>
      <c r="J20" s="7" t="s">
        <v>2</v>
      </c>
      <c r="K20" s="12">
        <v>0.87321459999999995</v>
      </c>
      <c r="L20" s="3">
        <v>0.73171379999999997</v>
      </c>
      <c r="M20" s="10">
        <f t="shared" ref="M20:M22" si="3">K20/L20-1</f>
        <v>0.19338271329582679</v>
      </c>
      <c r="O20" s="7" t="s">
        <v>1</v>
      </c>
      <c r="P20" s="3">
        <v>3.0416249999999998</v>
      </c>
      <c r="Q20" s="3">
        <v>3.1094059999999999</v>
      </c>
      <c r="R20" s="10">
        <f>ABS(P20/Q20-1)</f>
        <v>2.1798697243139098E-2</v>
      </c>
    </row>
    <row r="21" spans="1:18" x14ac:dyDescent="0.3">
      <c r="A21" t="s">
        <v>33</v>
      </c>
      <c r="D21">
        <f>_xlfn.NUMBERVALUE(IFERROR(RIGHT(LEFT(A21, LEN(A21)-2), LEN(A21)-6), ""))</f>
        <v>394.11599999999999</v>
      </c>
      <c r="E21">
        <f t="shared" si="1"/>
        <v>394.11599999999999</v>
      </c>
      <c r="J21" s="7" t="s">
        <v>3</v>
      </c>
      <c r="K21" s="12">
        <v>10.67651</v>
      </c>
      <c r="L21" s="3">
        <v>10.419269999999999</v>
      </c>
      <c r="M21" s="10">
        <f t="shared" si="3"/>
        <v>2.4688869757670373E-2</v>
      </c>
      <c r="O21" s="7" t="s">
        <v>2</v>
      </c>
      <c r="P21" s="3">
        <v>1.0811489999999999</v>
      </c>
      <c r="Q21" s="3">
        <v>1.1140140000000001</v>
      </c>
      <c r="R21" s="10">
        <f t="shared" ref="R21:R22" si="4">ABS(P21/Q21-1)</f>
        <v>2.9501424578147306E-2</v>
      </c>
    </row>
    <row r="22" spans="1:18" ht="15" thickBot="1" x14ac:dyDescent="0.35">
      <c r="A22" t="s">
        <v>34</v>
      </c>
      <c r="D22">
        <f t="shared" ref="D22:D85" si="5">_xlfn.NUMBERVALUE(IFERROR(RIGHT(LEFT(A22, LEN(A22)-2), LEN(A22)-6), ""))</f>
        <v>418.62900000000002</v>
      </c>
      <c r="E22">
        <f t="shared" si="1"/>
        <v>418.62900000000002</v>
      </c>
      <c r="J22" s="8" t="s">
        <v>16</v>
      </c>
      <c r="K22" s="13">
        <v>12.218629999999999</v>
      </c>
      <c r="L22" s="4">
        <v>12.01618</v>
      </c>
      <c r="M22" s="11">
        <f t="shared" si="3"/>
        <v>1.6848116456311235E-2</v>
      </c>
      <c r="O22" s="8" t="s">
        <v>3</v>
      </c>
      <c r="P22" s="4">
        <v>10.142440000000001</v>
      </c>
      <c r="Q22" s="4">
        <v>12.29393</v>
      </c>
      <c r="R22" s="11">
        <f t="shared" si="4"/>
        <v>0.1750042500648693</v>
      </c>
    </row>
    <row r="23" spans="1:18" x14ac:dyDescent="0.3">
      <c r="A23" t="s">
        <v>35</v>
      </c>
      <c r="D23">
        <f t="shared" si="5"/>
        <v>380.41</v>
      </c>
      <c r="E23">
        <f t="shared" si="1"/>
        <v>380.41</v>
      </c>
      <c r="L23" s="1"/>
    </row>
    <row r="24" spans="1:18" x14ac:dyDescent="0.3">
      <c r="A24" t="s">
        <v>36</v>
      </c>
      <c r="D24">
        <f t="shared" si="5"/>
        <v>404.76400000000001</v>
      </c>
      <c r="E24">
        <f t="shared" si="1"/>
        <v>404.76400000000001</v>
      </c>
      <c r="L24" s="1"/>
    </row>
    <row r="25" spans="1:18" x14ac:dyDescent="0.3">
      <c r="A25" t="s">
        <v>37</v>
      </c>
      <c r="D25">
        <f t="shared" si="5"/>
        <v>410.32900000000001</v>
      </c>
      <c r="E25">
        <f t="shared" si="1"/>
        <v>410.32900000000001</v>
      </c>
      <c r="L25" s="1"/>
    </row>
    <row r="26" spans="1:18" x14ac:dyDescent="0.3">
      <c r="A26" t="s">
        <v>38</v>
      </c>
      <c r="D26">
        <f t="shared" si="5"/>
        <v>447.18599999999998</v>
      </c>
      <c r="E26">
        <f t="shared" si="1"/>
        <v>447.18599999999998</v>
      </c>
      <c r="L26" s="1"/>
    </row>
    <row r="27" spans="1:18" x14ac:dyDescent="0.3">
      <c r="A27" t="s">
        <v>39</v>
      </c>
      <c r="D27">
        <f t="shared" si="5"/>
        <v>400.7</v>
      </c>
      <c r="E27">
        <f t="shared" si="1"/>
        <v>400.7</v>
      </c>
      <c r="L27" s="1"/>
    </row>
    <row r="28" spans="1:18" x14ac:dyDescent="0.3">
      <c r="A28" t="s">
        <v>40</v>
      </c>
      <c r="D28">
        <f t="shared" si="5"/>
        <v>390.06700000000001</v>
      </c>
      <c r="E28">
        <f t="shared" si="1"/>
        <v>390.06700000000001</v>
      </c>
      <c r="L28" s="1"/>
    </row>
    <row r="29" spans="1:18" x14ac:dyDescent="0.3">
      <c r="A29" t="s">
        <v>41</v>
      </c>
      <c r="D29">
        <f t="shared" si="5"/>
        <v>384.27300000000002</v>
      </c>
      <c r="E29">
        <f t="shared" si="1"/>
        <v>384.27300000000002</v>
      </c>
      <c r="L29" s="1"/>
    </row>
    <row r="30" spans="1:18" x14ac:dyDescent="0.3">
      <c r="A30" t="s">
        <v>42</v>
      </c>
      <c r="D30">
        <f t="shared" si="5"/>
        <v>401.10399999999998</v>
      </c>
      <c r="E30">
        <f t="shared" si="1"/>
        <v>401.10399999999998</v>
      </c>
      <c r="L30" s="1"/>
    </row>
    <row r="31" spans="1:18" x14ac:dyDescent="0.3">
      <c r="A31" t="s">
        <v>43</v>
      </c>
      <c r="D31">
        <f t="shared" si="5"/>
        <v>396.471</v>
      </c>
      <c r="E31">
        <f t="shared" si="1"/>
        <v>396.471</v>
      </c>
      <c r="L31" s="1"/>
    </row>
    <row r="32" spans="1:18" x14ac:dyDescent="0.3">
      <c r="A32" t="s">
        <v>44</v>
      </c>
      <c r="D32">
        <f t="shared" si="5"/>
        <v>445.96899999999999</v>
      </c>
      <c r="E32">
        <f t="shared" si="1"/>
        <v>445.96899999999999</v>
      </c>
      <c r="L32" s="1"/>
    </row>
    <row r="33" spans="1:13" x14ac:dyDescent="0.3">
      <c r="A33" t="s">
        <v>45</v>
      </c>
      <c r="D33">
        <f t="shared" si="5"/>
        <v>382.00599999999997</v>
      </c>
      <c r="E33">
        <f t="shared" si="1"/>
        <v>382.00599999999997</v>
      </c>
      <c r="L33" s="1"/>
    </row>
    <row r="34" spans="1:13" x14ac:dyDescent="0.3">
      <c r="A34" t="s">
        <v>46</v>
      </c>
      <c r="D34">
        <f t="shared" si="5"/>
        <v>436.43700000000001</v>
      </c>
      <c r="E34">
        <f t="shared" si="1"/>
        <v>436.43700000000001</v>
      </c>
      <c r="L34" s="1"/>
    </row>
    <row r="35" spans="1:13" x14ac:dyDescent="0.3">
      <c r="A35" t="s">
        <v>47</v>
      </c>
      <c r="D35">
        <f t="shared" si="5"/>
        <v>422.005</v>
      </c>
      <c r="E35">
        <f t="shared" si="1"/>
        <v>422.005</v>
      </c>
      <c r="L35" s="1"/>
    </row>
    <row r="36" spans="1:13" x14ac:dyDescent="0.3">
      <c r="A36" t="s">
        <v>48</v>
      </c>
      <c r="D36">
        <f t="shared" si="5"/>
        <v>404.94099999999997</v>
      </c>
      <c r="E36">
        <f t="shared" si="1"/>
        <v>404.94099999999997</v>
      </c>
      <c r="L36" s="1"/>
    </row>
    <row r="37" spans="1:13" x14ac:dyDescent="0.3">
      <c r="A37" t="s">
        <v>49</v>
      </c>
      <c r="D37">
        <f t="shared" si="5"/>
        <v>382.32900000000001</v>
      </c>
      <c r="E37">
        <f t="shared" si="1"/>
        <v>382.32900000000001</v>
      </c>
      <c r="L37" s="1"/>
    </row>
    <row r="38" spans="1:13" x14ac:dyDescent="0.3">
      <c r="A38" t="s">
        <v>50</v>
      </c>
      <c r="D38">
        <f t="shared" si="5"/>
        <v>364.404</v>
      </c>
      <c r="E38">
        <f t="shared" si="1"/>
        <v>364.404</v>
      </c>
      <c r="L38" s="1"/>
    </row>
    <row r="39" spans="1:13" x14ac:dyDescent="0.3">
      <c r="A39" t="s">
        <v>51</v>
      </c>
      <c r="D39">
        <f t="shared" si="5"/>
        <v>365.24700000000001</v>
      </c>
      <c r="E39">
        <f t="shared" si="1"/>
        <v>365.24700000000001</v>
      </c>
      <c r="L39" s="1"/>
    </row>
    <row r="40" spans="1:13" x14ac:dyDescent="0.3">
      <c r="A40" t="s">
        <v>52</v>
      </c>
      <c r="D40">
        <f t="shared" si="5"/>
        <v>378.69600000000003</v>
      </c>
      <c r="E40">
        <f t="shared" si="1"/>
        <v>378.69600000000003</v>
      </c>
      <c r="L40" s="1"/>
    </row>
    <row r="41" spans="1:13" x14ac:dyDescent="0.3">
      <c r="A41" t="s">
        <v>53</v>
      </c>
      <c r="D41">
        <f t="shared" si="5"/>
        <v>360.76600000000002</v>
      </c>
      <c r="E41">
        <f t="shared" si="1"/>
        <v>360.76600000000002</v>
      </c>
      <c r="L41" s="1"/>
      <c r="M41" s="1"/>
    </row>
    <row r="42" spans="1:13" x14ac:dyDescent="0.3">
      <c r="A42" t="s">
        <v>54</v>
      </c>
      <c r="D42">
        <f t="shared" si="5"/>
        <v>367.267</v>
      </c>
      <c r="E42">
        <f t="shared" si="1"/>
        <v>367.267</v>
      </c>
    </row>
    <row r="43" spans="1:13" x14ac:dyDescent="0.3">
      <c r="A43" t="s">
        <v>55</v>
      </c>
      <c r="D43">
        <f t="shared" si="5"/>
        <v>382.697</v>
      </c>
      <c r="E43">
        <f t="shared" si="1"/>
        <v>382.697</v>
      </c>
    </row>
    <row r="44" spans="1:13" x14ac:dyDescent="0.3">
      <c r="A44" t="s">
        <v>56</v>
      </c>
      <c r="D44">
        <f t="shared" si="5"/>
        <v>345.57299999999998</v>
      </c>
      <c r="E44">
        <f t="shared" si="1"/>
        <v>345.57299999999998</v>
      </c>
    </row>
    <row r="45" spans="1:13" x14ac:dyDescent="0.3">
      <c r="A45" t="s">
        <v>57</v>
      </c>
      <c r="D45">
        <f t="shared" si="5"/>
        <v>345.13400000000001</v>
      </c>
      <c r="E45">
        <f t="shared" si="1"/>
        <v>345.13400000000001</v>
      </c>
    </row>
    <row r="46" spans="1:13" x14ac:dyDescent="0.3">
      <c r="A46" t="s">
        <v>58</v>
      </c>
      <c r="D46">
        <f t="shared" si="5"/>
        <v>347.73700000000002</v>
      </c>
      <c r="E46">
        <f t="shared" si="1"/>
        <v>347.73700000000002</v>
      </c>
    </row>
    <row r="47" spans="1:13" x14ac:dyDescent="0.3">
      <c r="A47" t="s">
        <v>59</v>
      </c>
      <c r="D47">
        <f t="shared" si="5"/>
        <v>368.54500000000002</v>
      </c>
      <c r="E47">
        <f t="shared" si="1"/>
        <v>368.54500000000002</v>
      </c>
    </row>
    <row r="48" spans="1:13" x14ac:dyDescent="0.3">
      <c r="A48" t="s">
        <v>60</v>
      </c>
      <c r="D48">
        <f t="shared" si="5"/>
        <v>347.23599999999999</v>
      </c>
      <c r="E48">
        <f t="shared" si="1"/>
        <v>347.23599999999999</v>
      </c>
    </row>
    <row r="49" spans="1:5" x14ac:dyDescent="0.3">
      <c r="A49" t="s">
        <v>61</v>
      </c>
      <c r="D49">
        <f t="shared" si="5"/>
        <v>332.80099999999999</v>
      </c>
      <c r="E49">
        <f t="shared" si="1"/>
        <v>332.80099999999999</v>
      </c>
    </row>
    <row r="50" spans="1:5" x14ac:dyDescent="0.3">
      <c r="A50" t="s">
        <v>62</v>
      </c>
      <c r="D50">
        <f t="shared" si="5"/>
        <v>349.44799999999998</v>
      </c>
      <c r="E50">
        <f t="shared" si="1"/>
        <v>349.44799999999998</v>
      </c>
    </row>
    <row r="51" spans="1:5" x14ac:dyDescent="0.3">
      <c r="A51" t="s">
        <v>63</v>
      </c>
      <c r="D51">
        <f t="shared" si="5"/>
        <v>352.24099999999999</v>
      </c>
      <c r="E51">
        <f t="shared" si="1"/>
        <v>352.24099999999999</v>
      </c>
    </row>
    <row r="52" spans="1:5" x14ac:dyDescent="0.3">
      <c r="A52" t="s">
        <v>64</v>
      </c>
      <c r="D52">
        <f t="shared" si="5"/>
        <v>361.84399999999999</v>
      </c>
      <c r="E52">
        <f t="shared" si="1"/>
        <v>361.84399999999999</v>
      </c>
    </row>
    <row r="53" spans="1:5" x14ac:dyDescent="0.3">
      <c r="A53" t="s">
        <v>65</v>
      </c>
      <c r="D53">
        <f t="shared" si="5"/>
        <v>379.24</v>
      </c>
      <c r="E53">
        <f t="shared" si="1"/>
        <v>379.24</v>
      </c>
    </row>
    <row r="54" spans="1:5" x14ac:dyDescent="0.3">
      <c r="A54" t="s">
        <v>66</v>
      </c>
      <c r="D54">
        <f t="shared" si="5"/>
        <v>391.98399999999998</v>
      </c>
      <c r="E54">
        <f t="shared" si="1"/>
        <v>391.98399999999998</v>
      </c>
    </row>
    <row r="55" spans="1:5" x14ac:dyDescent="0.3">
      <c r="A55" t="s">
        <v>67</v>
      </c>
      <c r="D55">
        <f t="shared" si="5"/>
        <v>371.899</v>
      </c>
      <c r="E55">
        <f t="shared" si="1"/>
        <v>371.899</v>
      </c>
    </row>
    <row r="56" spans="1:5" x14ac:dyDescent="0.3">
      <c r="A56" t="s">
        <v>68</v>
      </c>
      <c r="D56">
        <f t="shared" si="5"/>
        <v>396.37700000000001</v>
      </c>
      <c r="E56">
        <f t="shared" si="1"/>
        <v>396.37700000000001</v>
      </c>
    </row>
    <row r="57" spans="1:5" x14ac:dyDescent="0.3">
      <c r="A57" t="s">
        <v>69</v>
      </c>
      <c r="D57">
        <f t="shared" si="5"/>
        <v>373.41699999999997</v>
      </c>
      <c r="E57">
        <f t="shared" si="1"/>
        <v>373.41699999999997</v>
      </c>
    </row>
    <row r="58" spans="1:5" x14ac:dyDescent="0.3">
      <c r="A58" t="s">
        <v>70</v>
      </c>
      <c r="D58">
        <f t="shared" si="5"/>
        <v>355.07600000000002</v>
      </c>
      <c r="E58">
        <f t="shared" si="1"/>
        <v>355.07600000000002</v>
      </c>
    </row>
    <row r="59" spans="1:5" x14ac:dyDescent="0.3">
      <c r="A59" t="s">
        <v>71</v>
      </c>
      <c r="D59">
        <f t="shared" si="5"/>
        <v>394.25200000000001</v>
      </c>
      <c r="E59">
        <f t="shared" si="1"/>
        <v>394.25200000000001</v>
      </c>
    </row>
    <row r="60" spans="1:5" x14ac:dyDescent="0.3">
      <c r="A60" t="s">
        <v>72</v>
      </c>
      <c r="D60">
        <f t="shared" si="5"/>
        <v>425.755</v>
      </c>
      <c r="E60">
        <f t="shared" si="1"/>
        <v>425.755</v>
      </c>
    </row>
    <row r="61" spans="1:5" x14ac:dyDescent="0.3">
      <c r="A61" t="s">
        <v>73</v>
      </c>
      <c r="D61">
        <f t="shared" si="5"/>
        <v>446.43299999999999</v>
      </c>
      <c r="E61">
        <f t="shared" si="1"/>
        <v>446.43299999999999</v>
      </c>
    </row>
    <row r="62" spans="1:5" x14ac:dyDescent="0.3">
      <c r="A62" t="s">
        <v>74</v>
      </c>
      <c r="D62">
        <f t="shared" si="5"/>
        <v>481.12400000000002</v>
      </c>
      <c r="E62">
        <f t="shared" si="1"/>
        <v>481.12400000000002</v>
      </c>
    </row>
    <row r="63" spans="1:5" x14ac:dyDescent="0.3">
      <c r="D63">
        <f t="shared" si="5"/>
        <v>0</v>
      </c>
      <c r="E63" t="str">
        <f t="shared" si="1"/>
        <v/>
      </c>
    </row>
    <row r="64" spans="1:5" x14ac:dyDescent="0.3">
      <c r="D64">
        <f t="shared" si="5"/>
        <v>0</v>
      </c>
      <c r="E64" t="str">
        <f t="shared" si="1"/>
        <v/>
      </c>
    </row>
    <row r="65" spans="4:5" x14ac:dyDescent="0.3">
      <c r="D65">
        <f t="shared" si="5"/>
        <v>0</v>
      </c>
      <c r="E65" t="str">
        <f t="shared" si="1"/>
        <v/>
      </c>
    </row>
    <row r="66" spans="4:5" x14ac:dyDescent="0.3">
      <c r="D66">
        <f t="shared" si="5"/>
        <v>0</v>
      </c>
      <c r="E66" t="str">
        <f t="shared" si="1"/>
        <v/>
      </c>
    </row>
    <row r="67" spans="4:5" x14ac:dyDescent="0.3">
      <c r="D67">
        <f t="shared" si="5"/>
        <v>0</v>
      </c>
      <c r="E67" t="str">
        <f t="shared" si="1"/>
        <v/>
      </c>
    </row>
    <row r="68" spans="4:5" x14ac:dyDescent="0.3">
      <c r="D68">
        <f t="shared" si="5"/>
        <v>0</v>
      </c>
      <c r="E68" t="str">
        <f t="shared" si="1"/>
        <v/>
      </c>
    </row>
    <row r="69" spans="4:5" x14ac:dyDescent="0.3">
      <c r="D69">
        <f t="shared" si="5"/>
        <v>0</v>
      </c>
      <c r="E69" t="str">
        <f t="shared" si="1"/>
        <v/>
      </c>
    </row>
    <row r="70" spans="4:5" x14ac:dyDescent="0.3">
      <c r="D70">
        <f t="shared" si="5"/>
        <v>0</v>
      </c>
      <c r="E70" t="str">
        <f t="shared" si="1"/>
        <v/>
      </c>
    </row>
    <row r="71" spans="4:5" x14ac:dyDescent="0.3">
      <c r="D71">
        <f t="shared" si="5"/>
        <v>0</v>
      </c>
      <c r="E71" t="str">
        <f t="shared" si="1"/>
        <v/>
      </c>
    </row>
    <row r="72" spans="4:5" x14ac:dyDescent="0.3">
      <c r="D72">
        <f t="shared" si="5"/>
        <v>0</v>
      </c>
      <c r="E72" t="str">
        <f t="shared" si="1"/>
        <v/>
      </c>
    </row>
    <row r="73" spans="4:5" x14ac:dyDescent="0.3">
      <c r="D73">
        <f t="shared" si="5"/>
        <v>0</v>
      </c>
      <c r="E73" t="str">
        <f t="shared" si="1"/>
        <v/>
      </c>
    </row>
    <row r="74" spans="4:5" x14ac:dyDescent="0.3">
      <c r="D74">
        <f t="shared" si="5"/>
        <v>0</v>
      </c>
      <c r="E74" t="str">
        <f t="shared" si="1"/>
        <v/>
      </c>
    </row>
    <row r="75" spans="4:5" x14ac:dyDescent="0.3">
      <c r="D75">
        <f t="shared" si="5"/>
        <v>0</v>
      </c>
      <c r="E75" t="str">
        <f t="shared" si="1"/>
        <v/>
      </c>
    </row>
    <row r="76" spans="4:5" x14ac:dyDescent="0.3">
      <c r="D76">
        <f t="shared" si="5"/>
        <v>0</v>
      </c>
      <c r="E76" t="str">
        <f t="shared" si="1"/>
        <v/>
      </c>
    </row>
    <row r="77" spans="4:5" x14ac:dyDescent="0.3">
      <c r="D77">
        <f t="shared" si="5"/>
        <v>0</v>
      </c>
      <c r="E77" t="str">
        <f t="shared" ref="E77:E116" si="6">IF(D77=0, "", D77)</f>
        <v/>
      </c>
    </row>
    <row r="78" spans="4:5" x14ac:dyDescent="0.3">
      <c r="D78">
        <f t="shared" si="5"/>
        <v>0</v>
      </c>
      <c r="E78" t="str">
        <f t="shared" si="6"/>
        <v/>
      </c>
    </row>
    <row r="79" spans="4:5" x14ac:dyDescent="0.3">
      <c r="D79">
        <f t="shared" si="5"/>
        <v>0</v>
      </c>
      <c r="E79" t="str">
        <f t="shared" si="6"/>
        <v/>
      </c>
    </row>
    <row r="80" spans="4:5" x14ac:dyDescent="0.3">
      <c r="D80">
        <f t="shared" si="5"/>
        <v>0</v>
      </c>
      <c r="E80" t="str">
        <f t="shared" si="6"/>
        <v/>
      </c>
    </row>
    <row r="81" spans="4:5" x14ac:dyDescent="0.3">
      <c r="D81">
        <f t="shared" si="5"/>
        <v>0</v>
      </c>
      <c r="E81" t="str">
        <f t="shared" si="6"/>
        <v/>
      </c>
    </row>
    <row r="82" spans="4:5" x14ac:dyDescent="0.3">
      <c r="D82">
        <f t="shared" si="5"/>
        <v>0</v>
      </c>
      <c r="E82" t="str">
        <f t="shared" si="6"/>
        <v/>
      </c>
    </row>
    <row r="83" spans="4:5" x14ac:dyDescent="0.3">
      <c r="D83">
        <f t="shared" si="5"/>
        <v>0</v>
      </c>
      <c r="E83" t="str">
        <f t="shared" si="6"/>
        <v/>
      </c>
    </row>
    <row r="84" spans="4:5" x14ac:dyDescent="0.3">
      <c r="D84">
        <f t="shared" si="5"/>
        <v>0</v>
      </c>
      <c r="E84" t="str">
        <f t="shared" si="6"/>
        <v/>
      </c>
    </row>
    <row r="85" spans="4:5" x14ac:dyDescent="0.3">
      <c r="D85">
        <f t="shared" si="5"/>
        <v>0</v>
      </c>
      <c r="E85" t="str">
        <f t="shared" si="6"/>
        <v/>
      </c>
    </row>
    <row r="86" spans="4:5" x14ac:dyDescent="0.3">
      <c r="D86">
        <f t="shared" ref="D86:D114" si="7">_xlfn.NUMBERVALUE(IFERROR(RIGHT(LEFT(A86, LEN(A86)-2), LEN(A86)-6), ""))</f>
        <v>0</v>
      </c>
      <c r="E86" t="str">
        <f t="shared" si="6"/>
        <v/>
      </c>
    </row>
    <row r="87" spans="4:5" x14ac:dyDescent="0.3">
      <c r="D87">
        <f t="shared" si="7"/>
        <v>0</v>
      </c>
      <c r="E87" t="str">
        <f t="shared" si="6"/>
        <v/>
      </c>
    </row>
    <row r="88" spans="4:5" x14ac:dyDescent="0.3">
      <c r="D88">
        <f t="shared" si="7"/>
        <v>0</v>
      </c>
      <c r="E88" t="str">
        <f t="shared" si="6"/>
        <v/>
      </c>
    </row>
    <row r="89" spans="4:5" x14ac:dyDescent="0.3">
      <c r="D89">
        <f t="shared" si="7"/>
        <v>0</v>
      </c>
      <c r="E89" t="str">
        <f t="shared" si="6"/>
        <v/>
      </c>
    </row>
    <row r="90" spans="4:5" x14ac:dyDescent="0.3">
      <c r="D90">
        <f t="shared" si="7"/>
        <v>0</v>
      </c>
      <c r="E90" t="str">
        <f t="shared" si="6"/>
        <v/>
      </c>
    </row>
    <row r="91" spans="4:5" x14ac:dyDescent="0.3">
      <c r="D91">
        <f t="shared" si="7"/>
        <v>0</v>
      </c>
      <c r="E91" t="str">
        <f t="shared" si="6"/>
        <v/>
      </c>
    </row>
    <row r="92" spans="4:5" x14ac:dyDescent="0.3">
      <c r="D92">
        <f t="shared" si="7"/>
        <v>0</v>
      </c>
      <c r="E92" t="str">
        <f t="shared" si="6"/>
        <v/>
      </c>
    </row>
    <row r="93" spans="4:5" x14ac:dyDescent="0.3">
      <c r="D93">
        <f t="shared" si="7"/>
        <v>0</v>
      </c>
      <c r="E93" t="str">
        <f t="shared" si="6"/>
        <v/>
      </c>
    </row>
    <row r="94" spans="4:5" x14ac:dyDescent="0.3">
      <c r="D94">
        <f t="shared" si="7"/>
        <v>0</v>
      </c>
      <c r="E94" t="str">
        <f t="shared" si="6"/>
        <v/>
      </c>
    </row>
    <row r="95" spans="4:5" x14ac:dyDescent="0.3">
      <c r="D95">
        <f t="shared" si="7"/>
        <v>0</v>
      </c>
      <c r="E95" t="str">
        <f t="shared" si="6"/>
        <v/>
      </c>
    </row>
    <row r="96" spans="4:5" x14ac:dyDescent="0.3">
      <c r="D96">
        <f t="shared" si="7"/>
        <v>0</v>
      </c>
      <c r="E96" t="str">
        <f t="shared" si="6"/>
        <v/>
      </c>
    </row>
    <row r="97" spans="4:5" x14ac:dyDescent="0.3">
      <c r="D97">
        <f t="shared" si="7"/>
        <v>0</v>
      </c>
      <c r="E97" t="str">
        <f t="shared" si="6"/>
        <v/>
      </c>
    </row>
    <row r="98" spans="4:5" x14ac:dyDescent="0.3">
      <c r="D98">
        <f t="shared" si="7"/>
        <v>0</v>
      </c>
      <c r="E98" t="str">
        <f t="shared" si="6"/>
        <v/>
      </c>
    </row>
    <row r="99" spans="4:5" x14ac:dyDescent="0.3">
      <c r="D99">
        <f t="shared" si="7"/>
        <v>0</v>
      </c>
      <c r="E99" t="str">
        <f t="shared" si="6"/>
        <v/>
      </c>
    </row>
    <row r="100" spans="4:5" x14ac:dyDescent="0.3">
      <c r="D100">
        <f t="shared" si="7"/>
        <v>0</v>
      </c>
      <c r="E100" t="str">
        <f t="shared" si="6"/>
        <v/>
      </c>
    </row>
    <row r="101" spans="4:5" x14ac:dyDescent="0.3">
      <c r="D101">
        <f t="shared" si="7"/>
        <v>0</v>
      </c>
      <c r="E101" t="str">
        <f t="shared" si="6"/>
        <v/>
      </c>
    </row>
    <row r="102" spans="4:5" x14ac:dyDescent="0.3">
      <c r="D102">
        <f t="shared" si="7"/>
        <v>0</v>
      </c>
      <c r="E102" t="str">
        <f t="shared" si="6"/>
        <v/>
      </c>
    </row>
    <row r="103" spans="4:5" x14ac:dyDescent="0.3">
      <c r="D103">
        <f t="shared" si="7"/>
        <v>0</v>
      </c>
      <c r="E103" t="str">
        <f t="shared" si="6"/>
        <v/>
      </c>
    </row>
    <row r="104" spans="4:5" x14ac:dyDescent="0.3">
      <c r="D104">
        <f t="shared" si="7"/>
        <v>0</v>
      </c>
      <c r="E104" t="str">
        <f t="shared" si="6"/>
        <v/>
      </c>
    </row>
    <row r="105" spans="4:5" x14ac:dyDescent="0.3">
      <c r="D105">
        <f t="shared" si="7"/>
        <v>0</v>
      </c>
      <c r="E105" t="str">
        <f t="shared" si="6"/>
        <v/>
      </c>
    </row>
    <row r="106" spans="4:5" x14ac:dyDescent="0.3">
      <c r="D106">
        <f t="shared" si="7"/>
        <v>0</v>
      </c>
      <c r="E106" t="str">
        <f t="shared" si="6"/>
        <v/>
      </c>
    </row>
    <row r="107" spans="4:5" x14ac:dyDescent="0.3">
      <c r="D107">
        <f t="shared" si="7"/>
        <v>0</v>
      </c>
      <c r="E107" t="str">
        <f t="shared" si="6"/>
        <v/>
      </c>
    </row>
    <row r="108" spans="4:5" x14ac:dyDescent="0.3">
      <c r="D108">
        <f t="shared" si="7"/>
        <v>0</v>
      </c>
      <c r="E108" t="str">
        <f t="shared" si="6"/>
        <v/>
      </c>
    </row>
    <row r="109" spans="4:5" x14ac:dyDescent="0.3">
      <c r="D109">
        <f t="shared" si="7"/>
        <v>0</v>
      </c>
      <c r="E109" t="str">
        <f t="shared" si="6"/>
        <v/>
      </c>
    </row>
    <row r="110" spans="4:5" x14ac:dyDescent="0.3">
      <c r="D110">
        <f t="shared" si="7"/>
        <v>0</v>
      </c>
      <c r="E110" t="str">
        <f t="shared" si="6"/>
        <v/>
      </c>
    </row>
    <row r="111" spans="4:5" x14ac:dyDescent="0.3">
      <c r="D111">
        <f t="shared" si="7"/>
        <v>0</v>
      </c>
      <c r="E111" t="str">
        <f t="shared" si="6"/>
        <v/>
      </c>
    </row>
    <row r="112" spans="4:5" x14ac:dyDescent="0.3">
      <c r="D112">
        <f t="shared" si="7"/>
        <v>0</v>
      </c>
      <c r="E112" t="str">
        <f t="shared" si="6"/>
        <v/>
      </c>
    </row>
    <row r="113" spans="4:5" x14ac:dyDescent="0.3">
      <c r="D113">
        <f t="shared" si="7"/>
        <v>0</v>
      </c>
      <c r="E113" t="str">
        <f t="shared" si="6"/>
        <v/>
      </c>
    </row>
    <row r="114" spans="4:5" x14ac:dyDescent="0.3">
      <c r="D114">
        <f t="shared" si="7"/>
        <v>0</v>
      </c>
      <c r="E114" t="str">
        <f t="shared" si="6"/>
        <v/>
      </c>
    </row>
    <row r="115" spans="4:5" x14ac:dyDescent="0.3">
      <c r="D115" t="str">
        <f t="shared" ref="D115:D116" si="8">IFERROR(RIGHT(LEFT(A115, LEN(A115)-2), LEN(A115)-6), "")</f>
        <v/>
      </c>
      <c r="E115" t="str">
        <f t="shared" si="6"/>
        <v/>
      </c>
    </row>
    <row r="116" spans="4:5" x14ac:dyDescent="0.3">
      <c r="D116" t="str">
        <f t="shared" si="8"/>
        <v/>
      </c>
      <c r="E116" t="str">
        <f t="shared" si="6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FAES, GABRIEL (PGT)</dc:creator>
  <cp:lastModifiedBy>FAES, GABRIEL (PGT)</cp:lastModifiedBy>
  <dcterms:created xsi:type="dcterms:W3CDTF">2026-01-23T23:55:20Z</dcterms:created>
  <dcterms:modified xsi:type="dcterms:W3CDTF">2026-02-08T23:35:24Z</dcterms:modified>
</cp:coreProperties>
</file>