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5711834\Documents\"/>
    </mc:Choice>
  </mc:AlternateContent>
  <xr:revisionPtr revIDLastSave="0" documentId="13_ncr:1_{6143F5AF-038C-400C-B3CB-4FD80014E9CC}" xr6:coauthVersionLast="47" xr6:coauthVersionMax="47" xr10:uidLastSave="{00000000-0000-0000-0000-000000000000}"/>
  <bookViews>
    <workbookView xWindow="-108" yWindow="-108" windowWidth="23256" windowHeight="13896" xr2:uid="{5BD5D07B-CEB2-477E-82C7-A8899E6CC13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C8" i="2"/>
  <c r="D8" i="2"/>
  <c r="E8" i="2"/>
  <c r="F8" i="2"/>
  <c r="G8" i="2"/>
  <c r="H8" i="2"/>
  <c r="I8" i="2"/>
  <c r="J8" i="2"/>
  <c r="K8" i="2"/>
  <c r="L8" i="2"/>
  <c r="M8" i="2"/>
  <c r="B9" i="2"/>
  <c r="C9" i="2"/>
  <c r="D9" i="2"/>
  <c r="E9" i="2"/>
  <c r="F9" i="2"/>
  <c r="G9" i="2"/>
  <c r="H9" i="2"/>
  <c r="I9" i="2"/>
  <c r="J9" i="2"/>
  <c r="K9" i="2"/>
  <c r="L9" i="2"/>
  <c r="M9" i="2"/>
  <c r="C7" i="2"/>
  <c r="D7" i="2"/>
  <c r="E7" i="2"/>
  <c r="F7" i="2"/>
  <c r="G7" i="2"/>
  <c r="H7" i="2"/>
  <c r="I7" i="2"/>
  <c r="J7" i="2"/>
  <c r="K7" i="2"/>
  <c r="L7" i="2"/>
  <c r="M7" i="2"/>
  <c r="B7" i="2"/>
  <c r="M20" i="1"/>
  <c r="M21" i="1"/>
  <c r="M22" i="1"/>
  <c r="R21" i="1"/>
  <c r="R22" i="1"/>
  <c r="R20" i="1"/>
  <c r="R16" i="1"/>
  <c r="R17" i="1"/>
  <c r="R18" i="1"/>
  <c r="M19" i="1"/>
  <c r="D12" i="1"/>
  <c r="E12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21" i="1"/>
  <c r="E21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115" i="1"/>
  <c r="E115" i="1" s="1"/>
  <c r="D116" i="1"/>
  <c r="E116" i="1" s="1"/>
  <c r="J12" i="1" l="1"/>
  <c r="G12" i="1"/>
  <c r="H12" i="1"/>
  <c r="I12" i="1"/>
  <c r="H13" i="1" l="1"/>
  <c r="I13" i="1"/>
  <c r="J13" i="1"/>
</calcChain>
</file>

<file path=xl/sharedStrings.xml><?xml version="1.0" encoding="utf-8"?>
<sst xmlns="http://schemas.openxmlformats.org/spreadsheetml/2006/main" count="86" uniqueCount="45">
  <si>
    <t>Initial Test</t>
  </si>
  <si>
    <t>Scene 1</t>
  </si>
  <si>
    <t>Scene 2</t>
  </si>
  <si>
    <t>Scene 3</t>
  </si>
  <si>
    <t>Always plugged in, window in focus, and at least 10 loops</t>
  </si>
  <si>
    <t>All numbers in ms, mean of loops</t>
  </si>
  <si>
    <t>Data:</t>
  </si>
  <si>
    <t>First loop ignored</t>
  </si>
  <si>
    <t>Pre-calculated Barycentrics</t>
  </si>
  <si>
    <t>Line optimized</t>
  </si>
  <si>
    <t>Speedup</t>
  </si>
  <si>
    <t>Slowdown</t>
  </si>
  <si>
    <t>Opt. 1</t>
  </si>
  <si>
    <t>w/o ignore</t>
  </si>
  <si>
    <t>Alt Sc. 3</t>
  </si>
  <si>
    <t>Draw Optimisations</t>
  </si>
  <si>
    <t>2 Threads</t>
  </si>
  <si>
    <t>4 Threads</t>
  </si>
  <si>
    <t>11 Threads</t>
  </si>
  <si>
    <t>22 Threads</t>
  </si>
  <si>
    <t>3 Threads</t>
  </si>
  <si>
    <t>5 Threads</t>
  </si>
  <si>
    <t>6 Threads</t>
  </si>
  <si>
    <t>7 Threads</t>
  </si>
  <si>
    <t>8 Threads</t>
  </si>
  <si>
    <t>14 Threads</t>
  </si>
  <si>
    <t>18 Threads</t>
  </si>
  <si>
    <t>Final Time</t>
  </si>
  <si>
    <t>1 :9231.5ms</t>
  </si>
  <si>
    <t>2 :9590.01ms</t>
  </si>
  <si>
    <t>3 :10040ms</t>
  </si>
  <si>
    <t>4 :10117.3ms</t>
  </si>
  <si>
    <t>5 :10119.6ms</t>
  </si>
  <si>
    <t>6 :10168.6ms</t>
  </si>
  <si>
    <t>7 :10169.3ms</t>
  </si>
  <si>
    <t>8 :10257.2ms</t>
  </si>
  <si>
    <t>9 :10368.4ms</t>
  </si>
  <si>
    <t>10 :10401.8ms</t>
  </si>
  <si>
    <t>11 :10410ms</t>
  </si>
  <si>
    <t>12 :10438.7ms</t>
  </si>
  <si>
    <t>13 :10430.9ms</t>
  </si>
  <si>
    <t>14 :10481.2ms</t>
  </si>
  <si>
    <t>15 :10441.5ms</t>
  </si>
  <si>
    <t>16 :10487.2ms</t>
  </si>
  <si>
    <t>Final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</si>
</sst>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2" fontId="0" fillId="0" borderId="0" xfId="0" applyNumberFormat="1"/>
    <xf numFmtId="164" fontId="0" fillId="0" borderId="0" xfId="0" applyNumberFormat="1"/>
    <xf numFmtId="164" fontId="0" fillId="0" borderId="0" xfId="0" applyNumberFormat="1" applyBorder="1"/>
    <xf numFmtId="10" fontId="0" fillId="0" borderId="3" xfId="1" applyNumberFormat="1" applyFont="1" applyBorder="1"/>
    <xf numFmtId="164" fontId="0" fillId="0" borderId="5" xfId="0" applyNumberFormat="1" applyBorder="1"/>
    <xf numFmtId="10" fontId="0" fillId="0" borderId="6" xfId="1" applyNumberFormat="1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10" fontId="0" fillId="0" borderId="13" xfId="1" applyNumberFormat="1" applyFont="1" applyBorder="1"/>
    <xf numFmtId="10" fontId="0" fillId="0" borderId="14" xfId="1" applyNumberFormat="1" applyFont="1" applyBorder="1"/>
    <xf numFmtId="164" fontId="0" fillId="0" borderId="2" xfId="0" applyNumberFormat="1" applyBorder="1"/>
    <xf numFmtId="164" fontId="0" fillId="0" borderId="4" xfId="0" applyNumberFormat="1" applyBorder="1"/>
    <xf numFmtId="0" fontId="0" fillId="0" borderId="1" xfId="0" applyBorder="1"/>
    <xf numFmtId="164" fontId="0" fillId="0" borderId="3" xfId="0" applyNumberFormat="1" applyBorder="1"/>
    <xf numFmtId="164" fontId="0" fillId="0" borderId="6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Concurrency Speedup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Sheet2!$B$16</c:f>
              <c:strCache>
                <c:ptCount val="1"/>
                <c:pt idx="0">
                  <c:v>Scene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Sheet2!$A$17:$A$28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11</c:v>
                </c:pt>
                <c:pt idx="9">
                  <c:v>14</c:v>
                </c:pt>
                <c:pt idx="10">
                  <c:v>18</c:v>
                </c:pt>
                <c:pt idx="11">
                  <c:v>22</c:v>
                </c:pt>
              </c:numCache>
            </c:numRef>
          </c:xVal>
          <c:yVal>
            <c:numRef>
              <c:f>Sheet2!$B$17:$B$28</c:f>
              <c:numCache>
                <c:formatCode>General</c:formatCode>
                <c:ptCount val="12"/>
                <c:pt idx="0">
                  <c:v>0</c:v>
                </c:pt>
                <c:pt idx="1">
                  <c:v>5.4886725788212187E-2</c:v>
                </c:pt>
                <c:pt idx="2">
                  <c:v>0.11870971578567402</c:v>
                </c:pt>
                <c:pt idx="3">
                  <c:v>-2.5673305831682702E-2</c:v>
                </c:pt>
                <c:pt idx="4">
                  <c:v>1.8406210243939292E-2</c:v>
                </c:pt>
                <c:pt idx="5">
                  <c:v>7.9379179970767932E-2</c:v>
                </c:pt>
                <c:pt idx="6">
                  <c:v>-8.4128421913055473E-2</c:v>
                </c:pt>
                <c:pt idx="7">
                  <c:v>-7.7078698975804327E-2</c:v>
                </c:pt>
                <c:pt idx="8">
                  <c:v>-0.23721628194995847</c:v>
                </c:pt>
                <c:pt idx="9">
                  <c:v>-0.23172290063455536</c:v>
                </c:pt>
                <c:pt idx="10">
                  <c:v>-0.36598854766960831</c:v>
                </c:pt>
                <c:pt idx="11">
                  <c:v>-0.46991872933011025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56-43B7-9D98-D78D7C64B31D}"/>
            </c:ext>
          </c:extLst>
        </c:ser>
        <c:ser>
          <c:idx val="1"/>
          <c:order val="1"/>
          <c:tx>
            <c:strRef>
              <c:f>Sheet2!$C$16</c:f>
              <c:strCache>
                <c:ptCount val="1"/>
                <c:pt idx="0">
                  <c:v>Scene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Sheet2!$A$17:$A$28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11</c:v>
                </c:pt>
                <c:pt idx="9">
                  <c:v>14</c:v>
                </c:pt>
                <c:pt idx="10">
                  <c:v>18</c:v>
                </c:pt>
                <c:pt idx="11">
                  <c:v>22</c:v>
                </c:pt>
              </c:numCache>
            </c:numRef>
          </c:xVal>
          <c:yVal>
            <c:numRef>
              <c:f>Sheet2!$C$17:$C$28</c:f>
              <c:numCache>
                <c:formatCode>General</c:formatCode>
                <c:ptCount val="12"/>
                <c:pt idx="0">
                  <c:v>0</c:v>
                </c:pt>
                <c:pt idx="1">
                  <c:v>0.16901679824847293</c:v>
                </c:pt>
                <c:pt idx="2">
                  <c:v>0.43914575712744286</c:v>
                </c:pt>
                <c:pt idx="3">
                  <c:v>0.69615852953223567</c:v>
                </c:pt>
                <c:pt idx="4">
                  <c:v>0.82948711569806344</c:v>
                </c:pt>
                <c:pt idx="5">
                  <c:v>0.87589678327071052</c:v>
                </c:pt>
                <c:pt idx="6">
                  <c:v>0.79643092218730782</c:v>
                </c:pt>
                <c:pt idx="7">
                  <c:v>0.64437679586965135</c:v>
                </c:pt>
                <c:pt idx="8">
                  <c:v>0.75367943382890967</c:v>
                </c:pt>
                <c:pt idx="9">
                  <c:v>0.52937293756965342</c:v>
                </c:pt>
                <c:pt idx="10">
                  <c:v>0.35001375449327288</c:v>
                </c:pt>
                <c:pt idx="11">
                  <c:v>0.19741982740591402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56-43B7-9D98-D78D7C64B31D}"/>
            </c:ext>
          </c:extLst>
        </c:ser>
        <c:ser>
          <c:idx val="2"/>
          <c:order val="2"/>
          <c:tx>
            <c:strRef>
              <c:f>Sheet2!$D$16</c:f>
              <c:strCache>
                <c:ptCount val="1"/>
                <c:pt idx="0">
                  <c:v>Scene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Sheet2!$A$17:$A$28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11</c:v>
                </c:pt>
                <c:pt idx="9">
                  <c:v>14</c:v>
                </c:pt>
                <c:pt idx="10">
                  <c:v>18</c:v>
                </c:pt>
                <c:pt idx="11">
                  <c:v>22</c:v>
                </c:pt>
              </c:numCache>
            </c:numRef>
          </c:xVal>
          <c:yVal>
            <c:numRef>
              <c:f>Sheet2!$D$17:$D$28</c:f>
              <c:numCache>
                <c:formatCode>General</c:formatCode>
                <c:ptCount val="12"/>
                <c:pt idx="0">
                  <c:v>0</c:v>
                </c:pt>
                <c:pt idx="1">
                  <c:v>0.1437018228503486</c:v>
                </c:pt>
                <c:pt idx="2">
                  <c:v>0.12608958421686767</c:v>
                </c:pt>
                <c:pt idx="3">
                  <c:v>0.22741246740267096</c:v>
                </c:pt>
                <c:pt idx="4">
                  <c:v>8.3544424378171334E-2</c:v>
                </c:pt>
                <c:pt idx="5">
                  <c:v>5.2084773277516927E-2</c:v>
                </c:pt>
                <c:pt idx="6">
                  <c:v>1.6418950030046009E-2</c:v>
                </c:pt>
                <c:pt idx="7">
                  <c:v>6.2012849013390214E-2</c:v>
                </c:pt>
                <c:pt idx="8">
                  <c:v>5.4987845350786824E-3</c:v>
                </c:pt>
                <c:pt idx="9">
                  <c:v>-1.9188354446108669E-2</c:v>
                </c:pt>
                <c:pt idx="10">
                  <c:v>1.3087439849795768E-2</c:v>
                </c:pt>
                <c:pt idx="11">
                  <c:v>-6.4548855608117406E-2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56-43B7-9D98-D78D7C64B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210704"/>
        <c:axId val="1362724576"/>
      </c:scatterChart>
      <c:valAx>
        <c:axId val="1330210704"/>
        <c:scaling>
          <c:orientation val="minMax"/>
          <c:max val="2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</a:t>
                </a:r>
                <a:r>
                  <a:rPr lang="en-GB" baseline="0"/>
                  <a:t> of Threads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0.44559614176858597"/>
              <c:y val="0.869710886519774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724576"/>
        <c:crosses val="autoZero"/>
        <c:crossBetween val="midCat"/>
      </c:valAx>
      <c:valAx>
        <c:axId val="136272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210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533400</xdr:colOff>
      <xdr:row>5</xdr:row>
      <xdr:rowOff>45720</xdr:rowOff>
    </xdr:from>
    <xdr:to>
      <xdr:col>20</xdr:col>
      <xdr:colOff>556260</xdr:colOff>
      <xdr:row>27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BD025E-E348-6986-C739-0D764562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E1711-1BB8-4589-A8C0-E797B318A73C}">
  <dimension ref="A1:V116"/>
  <sheetViews>
    <sheetView tabSelected="1" workbookViewId="0">
      <selection activeCell="L27" sqref="L27"/>
    </sheetView>
  </sheetViews>
  <sheetFormatPr defaultRowHeight="14.4" x14ac:dyDescent="0.3"/>
  <cols>
    <col min="1" max="1" width="7.44140625" customWidth="1"/>
    <col min="2" max="2" width="9" bestFit="1" customWidth="1"/>
    <col min="3" max="3" width="11.33203125" customWidth="1"/>
    <col min="4" max="4" width="8" bestFit="1" customWidth="1"/>
    <col min="10" max="10" width="7.77734375" customWidth="1"/>
    <col min="11" max="11" width="9" bestFit="1" customWidth="1"/>
    <col min="12" max="12" width="8.77734375" bestFit="1" customWidth="1"/>
    <col min="13" max="13" width="8" customWidth="1"/>
    <col min="15" max="15" width="7.33203125" bestFit="1" customWidth="1"/>
    <col min="16" max="16" width="9" bestFit="1" customWidth="1"/>
    <col min="17" max="17" width="9.33203125" bestFit="1" customWidth="1"/>
    <col min="18" max="18" width="9.109375" bestFit="1" customWidth="1"/>
    <col min="19" max="19" width="6.5546875" bestFit="1" customWidth="1"/>
    <col min="20" max="20" width="9.33203125" bestFit="1" customWidth="1"/>
    <col min="21" max="21" width="9.109375" bestFit="1" customWidth="1"/>
  </cols>
  <sheetData>
    <row r="1" spans="1:22" x14ac:dyDescent="0.3">
      <c r="B1" t="s">
        <v>0</v>
      </c>
      <c r="C1" t="s">
        <v>8</v>
      </c>
      <c r="D1" t="s">
        <v>9</v>
      </c>
      <c r="E1" t="s">
        <v>15</v>
      </c>
      <c r="F1" t="s">
        <v>16</v>
      </c>
      <c r="G1" t="s">
        <v>20</v>
      </c>
      <c r="H1" t="s">
        <v>17</v>
      </c>
      <c r="I1" t="s">
        <v>21</v>
      </c>
      <c r="J1" t="s">
        <v>22</v>
      </c>
      <c r="K1" t="s">
        <v>23</v>
      </c>
      <c r="L1" t="s">
        <v>24</v>
      </c>
      <c r="M1" t="s">
        <v>18</v>
      </c>
      <c r="N1" t="s">
        <v>25</v>
      </c>
      <c r="O1" t="s">
        <v>26</v>
      </c>
      <c r="P1" t="s">
        <v>19</v>
      </c>
      <c r="Q1" t="s">
        <v>27</v>
      </c>
    </row>
    <row r="2" spans="1:22" x14ac:dyDescent="0.3">
      <c r="A2" t="s">
        <v>1</v>
      </c>
      <c r="B2" s="2">
        <v>4.6647999999999996</v>
      </c>
      <c r="C2" s="2">
        <v>3.0416249999999998</v>
      </c>
      <c r="D2" s="2">
        <v>2.5230709999999998</v>
      </c>
      <c r="E2" s="2">
        <v>2.144571</v>
      </c>
      <c r="F2" s="2">
        <v>2.0329869999999999</v>
      </c>
      <c r="G2" s="2">
        <v>1.9170039999999999</v>
      </c>
      <c r="H2" s="2">
        <v>2.2010800000000001</v>
      </c>
      <c r="I2" s="2">
        <v>2.1058110000000001</v>
      </c>
      <c r="J2" s="2">
        <v>1.986856</v>
      </c>
      <c r="K2" s="2">
        <v>2.3415629999999998</v>
      </c>
      <c r="L2" s="2">
        <v>2.323677</v>
      </c>
      <c r="M2" s="2">
        <v>2.8115060000000001</v>
      </c>
      <c r="N2" s="2">
        <v>2.7914029999999999</v>
      </c>
      <c r="O2" s="2">
        <v>3.3825430000000001</v>
      </c>
      <c r="P2" s="2">
        <v>4.0457400000000003</v>
      </c>
      <c r="Q2" s="2">
        <v>1.9870000000000001</v>
      </c>
      <c r="R2" s="2"/>
      <c r="S2" s="2"/>
      <c r="T2" s="2"/>
      <c r="U2" s="2"/>
      <c r="V2" s="2"/>
    </row>
    <row r="3" spans="1:22" x14ac:dyDescent="0.3">
      <c r="A3" t="s">
        <v>2</v>
      </c>
      <c r="B3" s="2">
        <v>1.827099</v>
      </c>
      <c r="C3" s="2">
        <v>1.0811489999999999</v>
      </c>
      <c r="D3" s="2">
        <v>0.87321459999999995</v>
      </c>
      <c r="E3" s="2">
        <v>0.73171379999999997</v>
      </c>
      <c r="F3" s="2">
        <v>0.62592239999999999</v>
      </c>
      <c r="G3" s="2">
        <v>0.5084362</v>
      </c>
      <c r="H3" s="2">
        <v>0.43139470000000002</v>
      </c>
      <c r="I3" s="2">
        <v>0.39995570000000003</v>
      </c>
      <c r="J3" s="2">
        <v>0.39006079999999999</v>
      </c>
      <c r="K3" s="2">
        <v>0.40731529999999999</v>
      </c>
      <c r="L3" s="2">
        <v>0.44497940000000002</v>
      </c>
      <c r="M3" s="2">
        <v>0.41724489999999997</v>
      </c>
      <c r="N3" s="2">
        <v>0.47844039999999999</v>
      </c>
      <c r="O3" s="2">
        <v>0.54200470000000001</v>
      </c>
      <c r="P3" s="2">
        <v>0.61107540000000005</v>
      </c>
      <c r="Q3" s="2">
        <v>0.39</v>
      </c>
      <c r="R3" s="2"/>
      <c r="S3" s="2"/>
      <c r="T3" s="2"/>
      <c r="U3" s="2"/>
      <c r="V3" s="2"/>
    </row>
    <row r="4" spans="1:22" x14ac:dyDescent="0.3">
      <c r="A4" t="s">
        <v>3</v>
      </c>
      <c r="B4" s="2">
        <v>11.00719</v>
      </c>
      <c r="C4" s="2">
        <v>10.142440000000001</v>
      </c>
      <c r="D4" s="2">
        <v>10.67651</v>
      </c>
      <c r="E4" s="2">
        <v>10.419269999999999</v>
      </c>
      <c r="F4" s="2">
        <v>9.1101279999999996</v>
      </c>
      <c r="G4" s="2">
        <v>9.2526119999999992</v>
      </c>
      <c r="H4" s="2">
        <v>8.4888089999999998</v>
      </c>
      <c r="I4" s="2">
        <v>9.6159140000000001</v>
      </c>
      <c r="J4" s="2">
        <v>9.9034510000000004</v>
      </c>
      <c r="K4" s="2">
        <v>10.250959999999999</v>
      </c>
      <c r="L4" s="2">
        <v>9.8108699999999995</v>
      </c>
      <c r="M4" s="2">
        <v>10.36229</v>
      </c>
      <c r="N4" s="2">
        <v>10.62311</v>
      </c>
      <c r="O4" s="2">
        <v>10.28467</v>
      </c>
      <c r="P4" s="2">
        <v>11.13823</v>
      </c>
      <c r="Q4" s="2">
        <v>8.4890000000000008</v>
      </c>
      <c r="R4" s="2"/>
      <c r="S4" s="2"/>
      <c r="T4" s="2"/>
      <c r="U4" s="2"/>
      <c r="V4" s="2"/>
    </row>
    <row r="5" spans="1:22" x14ac:dyDescent="0.3">
      <c r="A5" t="s">
        <v>14</v>
      </c>
      <c r="B5" s="2">
        <v>13.098000000000001</v>
      </c>
      <c r="C5" s="2">
        <v>12.29393</v>
      </c>
      <c r="D5" s="2">
        <v>12.218629999999999</v>
      </c>
      <c r="E5" s="2">
        <v>12.01618</v>
      </c>
      <c r="F5" s="2">
        <v>10.525869999999999</v>
      </c>
      <c r="G5" s="2"/>
      <c r="H5" s="2">
        <v>10.69753</v>
      </c>
      <c r="I5" s="2"/>
      <c r="J5" s="2"/>
      <c r="K5" s="2"/>
      <c r="L5" s="2"/>
      <c r="M5" s="2"/>
      <c r="N5" s="2"/>
      <c r="O5" s="2"/>
      <c r="P5" s="2"/>
      <c r="Q5" s="2">
        <v>10.26145</v>
      </c>
      <c r="R5" s="2"/>
      <c r="S5" s="2"/>
      <c r="T5" s="2"/>
      <c r="U5" s="2"/>
      <c r="V5" s="2"/>
    </row>
    <row r="7" spans="1:22" x14ac:dyDescent="0.3">
      <c r="A7" t="s">
        <v>4</v>
      </c>
      <c r="G7" t="s">
        <v>5</v>
      </c>
    </row>
    <row r="8" spans="1:22" x14ac:dyDescent="0.3">
      <c r="G8" t="s">
        <v>7</v>
      </c>
      <c r="L8" s="1"/>
      <c r="M8" s="1"/>
    </row>
    <row r="9" spans="1:22" x14ac:dyDescent="0.3">
      <c r="L9" s="1"/>
    </row>
    <row r="10" spans="1:22" x14ac:dyDescent="0.3">
      <c r="A10" t="s">
        <v>6</v>
      </c>
      <c r="L10" s="1"/>
    </row>
    <row r="11" spans="1:22" x14ac:dyDescent="0.3">
      <c r="L11" s="1"/>
      <c r="M11" s="1"/>
    </row>
    <row r="12" spans="1:22" x14ac:dyDescent="0.3">
      <c r="A12" t="s">
        <v>28</v>
      </c>
      <c r="D12">
        <f>_xlfn.NUMBERVALUE(IFERROR(RIGHT(LEFT(A12, LEN(A12)-2), LEN(A12)-5), ""))</f>
        <v>9231.5</v>
      </c>
      <c r="E12">
        <f>IF(D12=0, "", D12)</f>
        <v>9231.5</v>
      </c>
      <c r="G12">
        <f>AVERAGE(E13:E101)</f>
        <v>10261.447333333334</v>
      </c>
      <c r="H12">
        <f>MEDIAN(E13:E101)</f>
        <v>10368.4</v>
      </c>
      <c r="I12">
        <f>MIN(E13:E101)</f>
        <v>9590.01</v>
      </c>
      <c r="J12">
        <f>MAX(E13:E101)</f>
        <v>10487.2</v>
      </c>
      <c r="L12" s="1"/>
    </row>
    <row r="13" spans="1:22" x14ac:dyDescent="0.3">
      <c r="A13" t="s">
        <v>29</v>
      </c>
      <c r="D13">
        <f t="shared" ref="D13:D20" si="0">_xlfn.NUMBERVALUE(IFERROR(RIGHT(LEFT(A13, LEN(A13)-2), LEN(A13)-5), ""))</f>
        <v>9590.01</v>
      </c>
      <c r="E13">
        <f t="shared" ref="E13:E76" si="1">IF(D13=0, "", D13)</f>
        <v>9590.01</v>
      </c>
      <c r="H13">
        <f>H12/G12</f>
        <v>1.0104227662231662</v>
      </c>
      <c r="I13">
        <f>I12/G12</f>
        <v>0.9345669951301866</v>
      </c>
      <c r="J13">
        <f>J12/G12</f>
        <v>1.0220000804304994</v>
      </c>
      <c r="L13" s="1"/>
    </row>
    <row r="14" spans="1:22" ht="15" thickBot="1" x14ac:dyDescent="0.35">
      <c r="A14" t="s">
        <v>30</v>
      </c>
      <c r="D14">
        <f t="shared" si="0"/>
        <v>10040</v>
      </c>
      <c r="E14">
        <f t="shared" si="1"/>
        <v>10040</v>
      </c>
      <c r="L14" s="1"/>
    </row>
    <row r="15" spans="1:22" ht="15" thickBot="1" x14ac:dyDescent="0.35">
      <c r="A15" t="s">
        <v>31</v>
      </c>
      <c r="D15">
        <f t="shared" si="0"/>
        <v>10117.299999999999</v>
      </c>
      <c r="E15">
        <f t="shared" si="1"/>
        <v>10117.299999999999</v>
      </c>
      <c r="L15" s="1"/>
      <c r="O15" s="17"/>
      <c r="P15" s="7" t="s">
        <v>0</v>
      </c>
      <c r="Q15" s="8" t="s">
        <v>13</v>
      </c>
      <c r="R15" s="12" t="s">
        <v>11</v>
      </c>
    </row>
    <row r="16" spans="1:22" x14ac:dyDescent="0.3">
      <c r="A16" t="s">
        <v>32</v>
      </c>
      <c r="D16">
        <f t="shared" si="0"/>
        <v>10119.6</v>
      </c>
      <c r="E16">
        <f t="shared" si="1"/>
        <v>10119.6</v>
      </c>
      <c r="L16" s="1"/>
      <c r="O16" s="10" t="s">
        <v>1</v>
      </c>
      <c r="P16" s="15">
        <v>4.6647999999999996</v>
      </c>
      <c r="Q16" s="3">
        <v>4.8478880000000002</v>
      </c>
      <c r="R16" s="13">
        <f>ABS(P16/Q16-1)</f>
        <v>3.776654906218968E-2</v>
      </c>
    </row>
    <row r="17" spans="1:18" ht="15" thickBot="1" x14ac:dyDescent="0.35">
      <c r="A17" t="s">
        <v>33</v>
      </c>
      <c r="D17">
        <f t="shared" si="0"/>
        <v>10168.6</v>
      </c>
      <c r="E17">
        <f t="shared" si="1"/>
        <v>10168.6</v>
      </c>
      <c r="L17" s="1"/>
      <c r="M17" s="1"/>
      <c r="O17" s="10" t="s">
        <v>2</v>
      </c>
      <c r="P17" s="15">
        <v>1.827099</v>
      </c>
      <c r="Q17" s="3">
        <v>1.8707020000000001</v>
      </c>
      <c r="R17" s="13">
        <f t="shared" ref="R17:R18" si="2">ABS(P17/Q17-1)</f>
        <v>2.3308362315323405E-2</v>
      </c>
    </row>
    <row r="18" spans="1:18" ht="15" thickBot="1" x14ac:dyDescent="0.35">
      <c r="A18" t="s">
        <v>34</v>
      </c>
      <c r="D18">
        <f t="shared" si="0"/>
        <v>10169.299999999999</v>
      </c>
      <c r="E18">
        <f t="shared" si="1"/>
        <v>10169.299999999999</v>
      </c>
      <c r="J18" s="17"/>
      <c r="K18" s="8" t="s">
        <v>0</v>
      </c>
      <c r="L18" s="9" t="s">
        <v>44</v>
      </c>
      <c r="M18" s="9" t="s">
        <v>10</v>
      </c>
      <c r="O18" s="11" t="s">
        <v>3</v>
      </c>
      <c r="P18" s="16">
        <v>11.00719</v>
      </c>
      <c r="Q18" s="5">
        <v>13.098000000000001</v>
      </c>
      <c r="R18" s="14">
        <f t="shared" si="2"/>
        <v>0.15962818750954355</v>
      </c>
    </row>
    <row r="19" spans="1:18" ht="15" thickBot="1" x14ac:dyDescent="0.35">
      <c r="A19" t="s">
        <v>35</v>
      </c>
      <c r="D19">
        <f t="shared" si="0"/>
        <v>10257.200000000001</v>
      </c>
      <c r="E19">
        <f t="shared" si="1"/>
        <v>10257.200000000001</v>
      </c>
      <c r="J19" s="10" t="s">
        <v>1</v>
      </c>
      <c r="K19" s="3">
        <v>4.6647999999999996</v>
      </c>
      <c r="L19" s="18">
        <v>1.9870000000000001</v>
      </c>
      <c r="M19" s="4">
        <f>K19/L19-1</f>
        <v>1.3476597886260691</v>
      </c>
      <c r="O19" s="17"/>
      <c r="P19" s="8" t="s">
        <v>12</v>
      </c>
      <c r="Q19" s="8" t="s">
        <v>13</v>
      </c>
      <c r="R19" s="12" t="s">
        <v>11</v>
      </c>
    </row>
    <row r="20" spans="1:18" x14ac:dyDescent="0.3">
      <c r="A20" t="s">
        <v>36</v>
      </c>
      <c r="D20">
        <f t="shared" si="0"/>
        <v>10368.4</v>
      </c>
      <c r="E20">
        <f t="shared" si="1"/>
        <v>10368.4</v>
      </c>
      <c r="J20" s="10" t="s">
        <v>2</v>
      </c>
      <c r="K20" s="3">
        <v>1.827099</v>
      </c>
      <c r="L20" s="18">
        <v>0.39</v>
      </c>
      <c r="M20" s="4">
        <f t="shared" ref="M20:M22" si="3">K20/L20-1</f>
        <v>3.6848692307692303</v>
      </c>
      <c r="O20" s="10" t="s">
        <v>1</v>
      </c>
      <c r="P20" s="3">
        <v>3.0416249999999998</v>
      </c>
      <c r="Q20" s="3">
        <v>3.1094059999999999</v>
      </c>
      <c r="R20" s="13">
        <f>ABS(P20/Q20-1)</f>
        <v>2.1798697243139098E-2</v>
      </c>
    </row>
    <row r="21" spans="1:18" x14ac:dyDescent="0.3">
      <c r="A21" t="s">
        <v>37</v>
      </c>
      <c r="D21">
        <f>_xlfn.NUMBERVALUE(IFERROR(RIGHT(LEFT(A21, LEN(A21)-2), LEN(A21)-6), ""))</f>
        <v>10401.799999999999</v>
      </c>
      <c r="E21">
        <f t="shared" si="1"/>
        <v>10401.799999999999</v>
      </c>
      <c r="J21" s="10" t="s">
        <v>3</v>
      </c>
      <c r="K21" s="3">
        <v>11.00719</v>
      </c>
      <c r="L21" s="18">
        <v>8.4890000000000008</v>
      </c>
      <c r="M21" s="4">
        <f t="shared" si="3"/>
        <v>0.29664153610554811</v>
      </c>
      <c r="O21" s="10" t="s">
        <v>2</v>
      </c>
      <c r="P21" s="3">
        <v>1.0811489999999999</v>
      </c>
      <c r="Q21" s="3">
        <v>1.1140140000000001</v>
      </c>
      <c r="R21" s="13">
        <f t="shared" ref="R21:R22" si="4">ABS(P21/Q21-1)</f>
        <v>2.9501424578147306E-2</v>
      </c>
    </row>
    <row r="22" spans="1:18" ht="15" thickBot="1" x14ac:dyDescent="0.35">
      <c r="A22" t="s">
        <v>38</v>
      </c>
      <c r="D22">
        <f t="shared" ref="D22:D85" si="5">_xlfn.NUMBERVALUE(IFERROR(RIGHT(LEFT(A22, LEN(A22)-2), LEN(A22)-6), ""))</f>
        <v>10410</v>
      </c>
      <c r="E22">
        <f t="shared" si="1"/>
        <v>10410</v>
      </c>
      <c r="J22" s="11" t="s">
        <v>14</v>
      </c>
      <c r="K22" s="5">
        <v>13.098000000000001</v>
      </c>
      <c r="L22" s="19">
        <v>10.26145</v>
      </c>
      <c r="M22" s="6">
        <f t="shared" si="3"/>
        <v>0.27642779529208839</v>
      </c>
      <c r="O22" s="11" t="s">
        <v>3</v>
      </c>
      <c r="P22" s="5">
        <v>10.142440000000001</v>
      </c>
      <c r="Q22" s="5">
        <v>12.29393</v>
      </c>
      <c r="R22" s="14">
        <f t="shared" si="4"/>
        <v>0.1750042500648693</v>
      </c>
    </row>
    <row r="23" spans="1:18" x14ac:dyDescent="0.3">
      <c r="A23" t="s">
        <v>39</v>
      </c>
      <c r="D23">
        <f t="shared" si="5"/>
        <v>10438.700000000001</v>
      </c>
      <c r="E23">
        <f t="shared" si="1"/>
        <v>10438.700000000001</v>
      </c>
      <c r="L23" s="1"/>
    </row>
    <row r="24" spans="1:18" x14ac:dyDescent="0.3">
      <c r="A24" t="s">
        <v>40</v>
      </c>
      <c r="D24">
        <f t="shared" si="5"/>
        <v>10430.9</v>
      </c>
      <c r="E24">
        <f t="shared" si="1"/>
        <v>10430.9</v>
      </c>
      <c r="L24" s="1"/>
    </row>
    <row r="25" spans="1:18" x14ac:dyDescent="0.3">
      <c r="A25" t="s">
        <v>41</v>
      </c>
      <c r="D25">
        <f t="shared" si="5"/>
        <v>10481.200000000001</v>
      </c>
      <c r="E25">
        <f t="shared" si="1"/>
        <v>10481.200000000001</v>
      </c>
      <c r="L25" s="1"/>
    </row>
    <row r="26" spans="1:18" x14ac:dyDescent="0.3">
      <c r="A26" t="s">
        <v>42</v>
      </c>
      <c r="D26">
        <f t="shared" si="5"/>
        <v>10441.5</v>
      </c>
      <c r="E26">
        <f t="shared" si="1"/>
        <v>10441.5</v>
      </c>
      <c r="L26" s="1"/>
    </row>
    <row r="27" spans="1:18" x14ac:dyDescent="0.3">
      <c r="A27" t="s">
        <v>43</v>
      </c>
      <c r="D27">
        <f t="shared" si="5"/>
        <v>10487.2</v>
      </c>
      <c r="E27">
        <f t="shared" si="1"/>
        <v>10487.2</v>
      </c>
      <c r="L27" s="1"/>
    </row>
    <row r="28" spans="1:18" x14ac:dyDescent="0.3">
      <c r="D28">
        <f t="shared" si="5"/>
        <v>0</v>
      </c>
      <c r="E28" t="str">
        <f t="shared" si="1"/>
        <v/>
      </c>
      <c r="L28" s="1"/>
    </row>
    <row r="29" spans="1:18" x14ac:dyDescent="0.3">
      <c r="D29">
        <f t="shared" si="5"/>
        <v>0</v>
      </c>
      <c r="E29" t="str">
        <f t="shared" si="1"/>
        <v/>
      </c>
      <c r="L29" s="1"/>
    </row>
    <row r="30" spans="1:18" x14ac:dyDescent="0.3">
      <c r="D30">
        <f t="shared" si="5"/>
        <v>0</v>
      </c>
      <c r="E30" t="str">
        <f t="shared" si="1"/>
        <v/>
      </c>
      <c r="L30" s="1"/>
    </row>
    <row r="31" spans="1:18" x14ac:dyDescent="0.3">
      <c r="D31">
        <f t="shared" si="5"/>
        <v>0</v>
      </c>
      <c r="E31" t="str">
        <f t="shared" si="1"/>
        <v/>
      </c>
      <c r="L31" s="1"/>
    </row>
    <row r="32" spans="1:18" x14ac:dyDescent="0.3">
      <c r="D32">
        <f t="shared" si="5"/>
        <v>0</v>
      </c>
      <c r="E32" t="str">
        <f t="shared" si="1"/>
        <v/>
      </c>
      <c r="L32" s="1"/>
    </row>
    <row r="33" spans="4:13" x14ac:dyDescent="0.3">
      <c r="D33">
        <f t="shared" si="5"/>
        <v>0</v>
      </c>
      <c r="E33" t="str">
        <f t="shared" si="1"/>
        <v/>
      </c>
      <c r="L33" s="1"/>
    </row>
    <row r="34" spans="4:13" x14ac:dyDescent="0.3">
      <c r="D34">
        <f t="shared" si="5"/>
        <v>0</v>
      </c>
      <c r="E34" t="str">
        <f t="shared" si="1"/>
        <v/>
      </c>
      <c r="L34" s="1"/>
    </row>
    <row r="35" spans="4:13" x14ac:dyDescent="0.3">
      <c r="D35">
        <f t="shared" si="5"/>
        <v>0</v>
      </c>
      <c r="E35" t="str">
        <f t="shared" si="1"/>
        <v/>
      </c>
      <c r="L35" s="1"/>
    </row>
    <row r="36" spans="4:13" x14ac:dyDescent="0.3">
      <c r="D36">
        <f t="shared" si="5"/>
        <v>0</v>
      </c>
      <c r="E36" t="str">
        <f t="shared" si="1"/>
        <v/>
      </c>
      <c r="L36" s="1"/>
    </row>
    <row r="37" spans="4:13" x14ac:dyDescent="0.3">
      <c r="D37">
        <f t="shared" si="5"/>
        <v>0</v>
      </c>
      <c r="E37" t="str">
        <f t="shared" si="1"/>
        <v/>
      </c>
      <c r="L37" s="1"/>
    </row>
    <row r="38" spans="4:13" x14ac:dyDescent="0.3">
      <c r="D38">
        <f t="shared" si="5"/>
        <v>0</v>
      </c>
      <c r="E38" t="str">
        <f t="shared" si="1"/>
        <v/>
      </c>
      <c r="L38" s="1"/>
    </row>
    <row r="39" spans="4:13" x14ac:dyDescent="0.3">
      <c r="D39">
        <f t="shared" si="5"/>
        <v>0</v>
      </c>
      <c r="E39" t="str">
        <f t="shared" si="1"/>
        <v/>
      </c>
      <c r="L39" s="1"/>
    </row>
    <row r="40" spans="4:13" x14ac:dyDescent="0.3">
      <c r="D40">
        <f t="shared" si="5"/>
        <v>0</v>
      </c>
      <c r="E40" t="str">
        <f t="shared" si="1"/>
        <v/>
      </c>
      <c r="L40" s="1"/>
    </row>
    <row r="41" spans="4:13" x14ac:dyDescent="0.3">
      <c r="D41">
        <f t="shared" si="5"/>
        <v>0</v>
      </c>
      <c r="E41" t="str">
        <f t="shared" si="1"/>
        <v/>
      </c>
      <c r="L41" s="1"/>
      <c r="M41" s="1"/>
    </row>
    <row r="42" spans="4:13" x14ac:dyDescent="0.3">
      <c r="D42">
        <f t="shared" si="5"/>
        <v>0</v>
      </c>
      <c r="E42" t="str">
        <f t="shared" si="1"/>
        <v/>
      </c>
    </row>
    <row r="43" spans="4:13" x14ac:dyDescent="0.3">
      <c r="D43">
        <f t="shared" si="5"/>
        <v>0</v>
      </c>
      <c r="E43" t="str">
        <f t="shared" si="1"/>
        <v/>
      </c>
    </row>
    <row r="44" spans="4:13" x14ac:dyDescent="0.3">
      <c r="D44">
        <f t="shared" si="5"/>
        <v>0</v>
      </c>
      <c r="E44" t="str">
        <f t="shared" si="1"/>
        <v/>
      </c>
    </row>
    <row r="45" spans="4:13" x14ac:dyDescent="0.3">
      <c r="D45">
        <f t="shared" si="5"/>
        <v>0</v>
      </c>
      <c r="E45" t="str">
        <f t="shared" si="1"/>
        <v/>
      </c>
    </row>
    <row r="46" spans="4:13" x14ac:dyDescent="0.3">
      <c r="D46">
        <f t="shared" si="5"/>
        <v>0</v>
      </c>
      <c r="E46" t="str">
        <f t="shared" si="1"/>
        <v/>
      </c>
    </row>
    <row r="47" spans="4:13" x14ac:dyDescent="0.3">
      <c r="D47">
        <f t="shared" si="5"/>
        <v>0</v>
      </c>
      <c r="E47" t="str">
        <f t="shared" si="1"/>
        <v/>
      </c>
    </row>
    <row r="48" spans="4:13" x14ac:dyDescent="0.3">
      <c r="D48">
        <f t="shared" si="5"/>
        <v>0</v>
      </c>
      <c r="E48" t="str">
        <f t="shared" si="1"/>
        <v/>
      </c>
    </row>
    <row r="49" spans="4:5" x14ac:dyDescent="0.3">
      <c r="D49">
        <f t="shared" si="5"/>
        <v>0</v>
      </c>
      <c r="E49" t="str">
        <f t="shared" si="1"/>
        <v/>
      </c>
    </row>
    <row r="50" spans="4:5" x14ac:dyDescent="0.3">
      <c r="D50">
        <f t="shared" si="5"/>
        <v>0</v>
      </c>
      <c r="E50" t="str">
        <f t="shared" si="1"/>
        <v/>
      </c>
    </row>
    <row r="51" spans="4:5" x14ac:dyDescent="0.3">
      <c r="D51">
        <f t="shared" si="5"/>
        <v>0</v>
      </c>
      <c r="E51" t="str">
        <f t="shared" si="1"/>
        <v/>
      </c>
    </row>
    <row r="52" spans="4:5" x14ac:dyDescent="0.3">
      <c r="D52">
        <f t="shared" si="5"/>
        <v>0</v>
      </c>
      <c r="E52" t="str">
        <f t="shared" si="1"/>
        <v/>
      </c>
    </row>
    <row r="53" spans="4:5" x14ac:dyDescent="0.3">
      <c r="D53">
        <f t="shared" si="5"/>
        <v>0</v>
      </c>
      <c r="E53" t="str">
        <f t="shared" si="1"/>
        <v/>
      </c>
    </row>
    <row r="54" spans="4:5" x14ac:dyDescent="0.3">
      <c r="D54">
        <f t="shared" si="5"/>
        <v>0</v>
      </c>
      <c r="E54" t="str">
        <f t="shared" si="1"/>
        <v/>
      </c>
    </row>
    <row r="55" spans="4:5" x14ac:dyDescent="0.3">
      <c r="D55">
        <f t="shared" si="5"/>
        <v>0</v>
      </c>
      <c r="E55" t="str">
        <f t="shared" si="1"/>
        <v/>
      </c>
    </row>
    <row r="56" spans="4:5" x14ac:dyDescent="0.3">
      <c r="D56">
        <f t="shared" si="5"/>
        <v>0</v>
      </c>
      <c r="E56" t="str">
        <f t="shared" si="1"/>
        <v/>
      </c>
    </row>
    <row r="57" spans="4:5" x14ac:dyDescent="0.3">
      <c r="D57">
        <f t="shared" si="5"/>
        <v>0</v>
      </c>
      <c r="E57" t="str">
        <f t="shared" si="1"/>
        <v/>
      </c>
    </row>
    <row r="58" spans="4:5" x14ac:dyDescent="0.3">
      <c r="D58">
        <f t="shared" si="5"/>
        <v>0</v>
      </c>
      <c r="E58" t="str">
        <f t="shared" si="1"/>
        <v/>
      </c>
    </row>
    <row r="59" spans="4:5" x14ac:dyDescent="0.3">
      <c r="D59">
        <f t="shared" si="5"/>
        <v>0</v>
      </c>
      <c r="E59" t="str">
        <f t="shared" si="1"/>
        <v/>
      </c>
    </row>
    <row r="60" spans="4:5" x14ac:dyDescent="0.3">
      <c r="D60">
        <f t="shared" si="5"/>
        <v>0</v>
      </c>
      <c r="E60" t="str">
        <f t="shared" si="1"/>
        <v/>
      </c>
    </row>
    <row r="61" spans="4:5" x14ac:dyDescent="0.3">
      <c r="D61">
        <f t="shared" si="5"/>
        <v>0</v>
      </c>
      <c r="E61" t="str">
        <f t="shared" si="1"/>
        <v/>
      </c>
    </row>
    <row r="62" spans="4:5" x14ac:dyDescent="0.3">
      <c r="D62">
        <f t="shared" si="5"/>
        <v>0</v>
      </c>
      <c r="E62" t="str">
        <f t="shared" si="1"/>
        <v/>
      </c>
    </row>
    <row r="63" spans="4:5" x14ac:dyDescent="0.3">
      <c r="D63">
        <f t="shared" si="5"/>
        <v>0</v>
      </c>
      <c r="E63" t="str">
        <f t="shared" si="1"/>
        <v/>
      </c>
    </row>
    <row r="64" spans="4:5" x14ac:dyDescent="0.3">
      <c r="D64">
        <f t="shared" si="5"/>
        <v>0</v>
      </c>
      <c r="E64" t="str">
        <f t="shared" si="1"/>
        <v/>
      </c>
    </row>
    <row r="65" spans="4:5" x14ac:dyDescent="0.3">
      <c r="D65">
        <f t="shared" si="5"/>
        <v>0</v>
      </c>
      <c r="E65" t="str">
        <f t="shared" si="1"/>
        <v/>
      </c>
    </row>
    <row r="66" spans="4:5" x14ac:dyDescent="0.3">
      <c r="D66">
        <f t="shared" si="5"/>
        <v>0</v>
      </c>
      <c r="E66" t="str">
        <f t="shared" si="1"/>
        <v/>
      </c>
    </row>
    <row r="67" spans="4:5" x14ac:dyDescent="0.3">
      <c r="D67">
        <f t="shared" si="5"/>
        <v>0</v>
      </c>
      <c r="E67" t="str">
        <f t="shared" si="1"/>
        <v/>
      </c>
    </row>
    <row r="68" spans="4:5" x14ac:dyDescent="0.3">
      <c r="D68">
        <f t="shared" si="5"/>
        <v>0</v>
      </c>
      <c r="E68" t="str">
        <f t="shared" si="1"/>
        <v/>
      </c>
    </row>
    <row r="69" spans="4:5" x14ac:dyDescent="0.3">
      <c r="D69">
        <f t="shared" si="5"/>
        <v>0</v>
      </c>
      <c r="E69" t="str">
        <f t="shared" si="1"/>
        <v/>
      </c>
    </row>
    <row r="70" spans="4:5" x14ac:dyDescent="0.3">
      <c r="D70">
        <f t="shared" si="5"/>
        <v>0</v>
      </c>
      <c r="E70" t="str">
        <f t="shared" si="1"/>
        <v/>
      </c>
    </row>
    <row r="71" spans="4:5" x14ac:dyDescent="0.3">
      <c r="D71">
        <f t="shared" si="5"/>
        <v>0</v>
      </c>
      <c r="E71" t="str">
        <f t="shared" si="1"/>
        <v/>
      </c>
    </row>
    <row r="72" spans="4:5" x14ac:dyDescent="0.3">
      <c r="D72">
        <f t="shared" si="5"/>
        <v>0</v>
      </c>
      <c r="E72" t="str">
        <f t="shared" si="1"/>
        <v/>
      </c>
    </row>
    <row r="73" spans="4:5" x14ac:dyDescent="0.3">
      <c r="D73">
        <f t="shared" si="5"/>
        <v>0</v>
      </c>
      <c r="E73" t="str">
        <f t="shared" si="1"/>
        <v/>
      </c>
    </row>
    <row r="74" spans="4:5" x14ac:dyDescent="0.3">
      <c r="D74">
        <f t="shared" si="5"/>
        <v>0</v>
      </c>
      <c r="E74" t="str">
        <f t="shared" si="1"/>
        <v/>
      </c>
    </row>
    <row r="75" spans="4:5" x14ac:dyDescent="0.3">
      <c r="D75">
        <f t="shared" si="5"/>
        <v>0</v>
      </c>
      <c r="E75" t="str">
        <f t="shared" si="1"/>
        <v/>
      </c>
    </row>
    <row r="76" spans="4:5" x14ac:dyDescent="0.3">
      <c r="D76">
        <f t="shared" si="5"/>
        <v>0</v>
      </c>
      <c r="E76" t="str">
        <f t="shared" si="1"/>
        <v/>
      </c>
    </row>
    <row r="77" spans="4:5" x14ac:dyDescent="0.3">
      <c r="D77">
        <f t="shared" si="5"/>
        <v>0</v>
      </c>
      <c r="E77" t="str">
        <f t="shared" ref="E77:E116" si="6">IF(D77=0, "", D77)</f>
        <v/>
      </c>
    </row>
    <row r="78" spans="4:5" x14ac:dyDescent="0.3">
      <c r="D78">
        <f t="shared" si="5"/>
        <v>0</v>
      </c>
      <c r="E78" t="str">
        <f t="shared" si="6"/>
        <v/>
      </c>
    </row>
    <row r="79" spans="4:5" x14ac:dyDescent="0.3">
      <c r="D79">
        <f t="shared" si="5"/>
        <v>0</v>
      </c>
      <c r="E79" t="str">
        <f t="shared" si="6"/>
        <v/>
      </c>
    </row>
    <row r="80" spans="4:5" x14ac:dyDescent="0.3">
      <c r="D80">
        <f t="shared" si="5"/>
        <v>0</v>
      </c>
      <c r="E80" t="str">
        <f t="shared" si="6"/>
        <v/>
      </c>
    </row>
    <row r="81" spans="4:5" x14ac:dyDescent="0.3">
      <c r="D81">
        <f t="shared" si="5"/>
        <v>0</v>
      </c>
      <c r="E81" t="str">
        <f t="shared" si="6"/>
        <v/>
      </c>
    </row>
    <row r="82" spans="4:5" x14ac:dyDescent="0.3">
      <c r="D82">
        <f t="shared" si="5"/>
        <v>0</v>
      </c>
      <c r="E82" t="str">
        <f t="shared" si="6"/>
        <v/>
      </c>
    </row>
    <row r="83" spans="4:5" x14ac:dyDescent="0.3">
      <c r="D83">
        <f t="shared" si="5"/>
        <v>0</v>
      </c>
      <c r="E83" t="str">
        <f t="shared" si="6"/>
        <v/>
      </c>
    </row>
    <row r="84" spans="4:5" x14ac:dyDescent="0.3">
      <c r="D84">
        <f t="shared" si="5"/>
        <v>0</v>
      </c>
      <c r="E84" t="str">
        <f t="shared" si="6"/>
        <v/>
      </c>
    </row>
    <row r="85" spans="4:5" x14ac:dyDescent="0.3">
      <c r="D85">
        <f t="shared" si="5"/>
        <v>0</v>
      </c>
      <c r="E85" t="str">
        <f t="shared" si="6"/>
        <v/>
      </c>
    </row>
    <row r="86" spans="4:5" x14ac:dyDescent="0.3">
      <c r="D86">
        <f t="shared" ref="D86:D114" si="7">_xlfn.NUMBERVALUE(IFERROR(RIGHT(LEFT(A86, LEN(A86)-2), LEN(A86)-6), ""))</f>
        <v>0</v>
      </c>
      <c r="E86" t="str">
        <f t="shared" si="6"/>
        <v/>
      </c>
    </row>
    <row r="87" spans="4:5" x14ac:dyDescent="0.3">
      <c r="D87">
        <f t="shared" si="7"/>
        <v>0</v>
      </c>
      <c r="E87" t="str">
        <f t="shared" si="6"/>
        <v/>
      </c>
    </row>
    <row r="88" spans="4:5" x14ac:dyDescent="0.3">
      <c r="D88">
        <f t="shared" si="7"/>
        <v>0</v>
      </c>
      <c r="E88" t="str">
        <f t="shared" si="6"/>
        <v/>
      </c>
    </row>
    <row r="89" spans="4:5" x14ac:dyDescent="0.3">
      <c r="D89">
        <f t="shared" si="7"/>
        <v>0</v>
      </c>
      <c r="E89" t="str">
        <f t="shared" si="6"/>
        <v/>
      </c>
    </row>
    <row r="90" spans="4:5" x14ac:dyDescent="0.3">
      <c r="D90">
        <f t="shared" si="7"/>
        <v>0</v>
      </c>
      <c r="E90" t="str">
        <f t="shared" si="6"/>
        <v/>
      </c>
    </row>
    <row r="91" spans="4:5" x14ac:dyDescent="0.3">
      <c r="D91">
        <f t="shared" si="7"/>
        <v>0</v>
      </c>
      <c r="E91" t="str">
        <f t="shared" si="6"/>
        <v/>
      </c>
    </row>
    <row r="92" spans="4:5" x14ac:dyDescent="0.3">
      <c r="D92">
        <f t="shared" si="7"/>
        <v>0</v>
      </c>
      <c r="E92" t="str">
        <f t="shared" si="6"/>
        <v/>
      </c>
    </row>
    <row r="93" spans="4:5" x14ac:dyDescent="0.3">
      <c r="D93">
        <f t="shared" si="7"/>
        <v>0</v>
      </c>
      <c r="E93" t="str">
        <f t="shared" si="6"/>
        <v/>
      </c>
    </row>
    <row r="94" spans="4:5" x14ac:dyDescent="0.3">
      <c r="D94">
        <f t="shared" si="7"/>
        <v>0</v>
      </c>
      <c r="E94" t="str">
        <f t="shared" si="6"/>
        <v/>
      </c>
    </row>
    <row r="95" spans="4:5" x14ac:dyDescent="0.3">
      <c r="D95">
        <f t="shared" si="7"/>
        <v>0</v>
      </c>
      <c r="E95" t="str">
        <f t="shared" si="6"/>
        <v/>
      </c>
    </row>
    <row r="96" spans="4:5" x14ac:dyDescent="0.3">
      <c r="D96">
        <f t="shared" si="7"/>
        <v>0</v>
      </c>
      <c r="E96" t="str">
        <f t="shared" si="6"/>
        <v/>
      </c>
    </row>
    <row r="97" spans="4:5" x14ac:dyDescent="0.3">
      <c r="D97">
        <f t="shared" si="7"/>
        <v>0</v>
      </c>
      <c r="E97" t="str">
        <f t="shared" si="6"/>
        <v/>
      </c>
    </row>
    <row r="98" spans="4:5" x14ac:dyDescent="0.3">
      <c r="D98">
        <f t="shared" si="7"/>
        <v>0</v>
      </c>
      <c r="E98" t="str">
        <f t="shared" si="6"/>
        <v/>
      </c>
    </row>
    <row r="99" spans="4:5" x14ac:dyDescent="0.3">
      <c r="D99">
        <f t="shared" si="7"/>
        <v>0</v>
      </c>
      <c r="E99" t="str">
        <f t="shared" si="6"/>
        <v/>
      </c>
    </row>
    <row r="100" spans="4:5" x14ac:dyDescent="0.3">
      <c r="D100">
        <f t="shared" si="7"/>
        <v>0</v>
      </c>
      <c r="E100" t="str">
        <f t="shared" si="6"/>
        <v/>
      </c>
    </row>
    <row r="101" spans="4:5" x14ac:dyDescent="0.3">
      <c r="D101">
        <f t="shared" si="7"/>
        <v>0</v>
      </c>
      <c r="E101" t="str">
        <f t="shared" si="6"/>
        <v/>
      </c>
    </row>
    <row r="102" spans="4:5" x14ac:dyDescent="0.3">
      <c r="D102">
        <f t="shared" si="7"/>
        <v>0</v>
      </c>
      <c r="E102" t="str">
        <f t="shared" si="6"/>
        <v/>
      </c>
    </row>
    <row r="103" spans="4:5" x14ac:dyDescent="0.3">
      <c r="D103">
        <f t="shared" si="7"/>
        <v>0</v>
      </c>
      <c r="E103" t="str">
        <f t="shared" si="6"/>
        <v/>
      </c>
    </row>
    <row r="104" spans="4:5" x14ac:dyDescent="0.3">
      <c r="D104">
        <f t="shared" si="7"/>
        <v>0</v>
      </c>
      <c r="E104" t="str">
        <f t="shared" si="6"/>
        <v/>
      </c>
    </row>
    <row r="105" spans="4:5" x14ac:dyDescent="0.3">
      <c r="D105">
        <f t="shared" si="7"/>
        <v>0</v>
      </c>
      <c r="E105" t="str">
        <f t="shared" si="6"/>
        <v/>
      </c>
    </row>
    <row r="106" spans="4:5" x14ac:dyDescent="0.3">
      <c r="D106">
        <f t="shared" si="7"/>
        <v>0</v>
      </c>
      <c r="E106" t="str">
        <f t="shared" si="6"/>
        <v/>
      </c>
    </row>
    <row r="107" spans="4:5" x14ac:dyDescent="0.3">
      <c r="D107">
        <f t="shared" si="7"/>
        <v>0</v>
      </c>
      <c r="E107" t="str">
        <f t="shared" si="6"/>
        <v/>
      </c>
    </row>
    <row r="108" spans="4:5" x14ac:dyDescent="0.3">
      <c r="D108">
        <f t="shared" si="7"/>
        <v>0</v>
      </c>
      <c r="E108" t="str">
        <f t="shared" si="6"/>
        <v/>
      </c>
    </row>
    <row r="109" spans="4:5" x14ac:dyDescent="0.3">
      <c r="D109">
        <f t="shared" si="7"/>
        <v>0</v>
      </c>
      <c r="E109" t="str">
        <f t="shared" si="6"/>
        <v/>
      </c>
    </row>
    <row r="110" spans="4:5" x14ac:dyDescent="0.3">
      <c r="D110">
        <f t="shared" si="7"/>
        <v>0</v>
      </c>
      <c r="E110" t="str">
        <f t="shared" si="6"/>
        <v/>
      </c>
    </row>
    <row r="111" spans="4:5" x14ac:dyDescent="0.3">
      <c r="D111">
        <f t="shared" si="7"/>
        <v>0</v>
      </c>
      <c r="E111" t="str">
        <f t="shared" si="6"/>
        <v/>
      </c>
    </row>
    <row r="112" spans="4:5" x14ac:dyDescent="0.3">
      <c r="D112">
        <f t="shared" si="7"/>
        <v>0</v>
      </c>
      <c r="E112" t="str">
        <f t="shared" si="6"/>
        <v/>
      </c>
    </row>
    <row r="113" spans="4:5" x14ac:dyDescent="0.3">
      <c r="D113">
        <f t="shared" si="7"/>
        <v>0</v>
      </c>
      <c r="E113" t="str">
        <f t="shared" si="6"/>
        <v/>
      </c>
    </row>
    <row r="114" spans="4:5" x14ac:dyDescent="0.3">
      <c r="D114">
        <f t="shared" si="7"/>
        <v>0</v>
      </c>
      <c r="E114" t="str">
        <f t="shared" si="6"/>
        <v/>
      </c>
    </row>
    <row r="115" spans="4:5" x14ac:dyDescent="0.3">
      <c r="D115" t="str">
        <f t="shared" ref="D115:D116" si="8">IFERROR(RIGHT(LEFT(A115, LEN(A115)-2), LEN(A115)-6), "")</f>
        <v/>
      </c>
      <c r="E115" t="str">
        <f t="shared" si="6"/>
        <v/>
      </c>
    </row>
    <row r="116" spans="4:5" x14ac:dyDescent="0.3">
      <c r="D116" t="str">
        <f t="shared" si="8"/>
        <v/>
      </c>
      <c r="E116" t="str">
        <f t="shared" si="6"/>
        <v/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8994F-C164-404A-97E8-1E44758D2260}">
  <dimension ref="A1:M28"/>
  <sheetViews>
    <sheetView workbookViewId="0">
      <selection activeCell="O30" sqref="O30"/>
    </sheetView>
  </sheetViews>
  <sheetFormatPr defaultRowHeight="14.4" x14ac:dyDescent="0.3"/>
  <sheetData>
    <row r="1" spans="1:13" x14ac:dyDescent="0.3">
      <c r="B1" t="s">
        <v>15</v>
      </c>
      <c r="C1" t="s">
        <v>16</v>
      </c>
      <c r="D1" t="s">
        <v>20</v>
      </c>
      <c r="E1" t="s">
        <v>17</v>
      </c>
      <c r="F1" t="s">
        <v>21</v>
      </c>
      <c r="G1" t="s">
        <v>22</v>
      </c>
      <c r="H1" t="s">
        <v>23</v>
      </c>
      <c r="I1" t="s">
        <v>24</v>
      </c>
      <c r="J1" t="s">
        <v>18</v>
      </c>
      <c r="K1" t="s">
        <v>25</v>
      </c>
      <c r="L1" t="s">
        <v>26</v>
      </c>
      <c r="M1" t="s">
        <v>19</v>
      </c>
    </row>
    <row r="2" spans="1:13" x14ac:dyDescent="0.3">
      <c r="A2" t="s">
        <v>1</v>
      </c>
      <c r="B2" s="2">
        <v>2.144571</v>
      </c>
      <c r="C2" s="2">
        <v>2.0329869999999999</v>
      </c>
      <c r="D2" s="2">
        <v>1.9170039999999999</v>
      </c>
      <c r="E2" s="2">
        <v>2.2010800000000001</v>
      </c>
      <c r="F2" s="2">
        <v>2.1058110000000001</v>
      </c>
      <c r="G2" s="2">
        <v>1.986856</v>
      </c>
      <c r="H2" s="2">
        <v>2.3415629999999998</v>
      </c>
      <c r="I2" s="2">
        <v>2.323677</v>
      </c>
      <c r="J2" s="2">
        <v>2.8115060000000001</v>
      </c>
      <c r="K2" s="2">
        <v>2.7914029999999999</v>
      </c>
      <c r="L2" s="2">
        <v>3.3825430000000001</v>
      </c>
      <c r="M2" s="2">
        <v>4.0457400000000003</v>
      </c>
    </row>
    <row r="3" spans="1:13" x14ac:dyDescent="0.3">
      <c r="A3" t="s">
        <v>2</v>
      </c>
      <c r="B3" s="2">
        <v>0.73171379999999997</v>
      </c>
      <c r="C3" s="2">
        <v>0.62592239999999999</v>
      </c>
      <c r="D3" s="2">
        <v>0.5084362</v>
      </c>
      <c r="E3" s="2">
        <v>0.43139470000000002</v>
      </c>
      <c r="F3" s="2">
        <v>0.39995570000000003</v>
      </c>
      <c r="G3" s="2">
        <v>0.39006079999999999</v>
      </c>
      <c r="H3" s="2">
        <v>0.40731529999999999</v>
      </c>
      <c r="I3" s="2">
        <v>0.44497940000000002</v>
      </c>
      <c r="J3" s="2">
        <v>0.41724489999999997</v>
      </c>
      <c r="K3" s="2">
        <v>0.47844039999999999</v>
      </c>
      <c r="L3" s="2">
        <v>0.54200470000000001</v>
      </c>
      <c r="M3" s="2">
        <v>0.61107540000000005</v>
      </c>
    </row>
    <row r="4" spans="1:13" x14ac:dyDescent="0.3">
      <c r="A4" t="s">
        <v>3</v>
      </c>
      <c r="B4" s="2">
        <v>10.419269999999999</v>
      </c>
      <c r="C4" s="2">
        <v>9.1101279999999996</v>
      </c>
      <c r="D4" s="2">
        <v>9.2526119999999992</v>
      </c>
      <c r="E4" s="2">
        <v>8.4888089999999998</v>
      </c>
      <c r="F4" s="2">
        <v>9.6159140000000001</v>
      </c>
      <c r="G4" s="2">
        <v>9.9034510000000004</v>
      </c>
      <c r="H4" s="2">
        <v>10.250959999999999</v>
      </c>
      <c r="I4" s="2">
        <v>9.8108699999999995</v>
      </c>
      <c r="J4" s="2">
        <v>10.36229</v>
      </c>
      <c r="K4" s="2">
        <v>10.62311</v>
      </c>
      <c r="L4" s="2">
        <v>10.28467</v>
      </c>
      <c r="M4" s="2">
        <v>11.13823</v>
      </c>
    </row>
    <row r="6" spans="1:13" x14ac:dyDescent="0.3">
      <c r="B6" s="2">
        <v>1</v>
      </c>
      <c r="C6" s="2">
        <v>2</v>
      </c>
      <c r="D6" s="2">
        <v>3</v>
      </c>
      <c r="E6" s="2">
        <v>4</v>
      </c>
      <c r="F6" s="2">
        <v>5</v>
      </c>
      <c r="G6" s="2">
        <v>6</v>
      </c>
      <c r="H6" s="2">
        <v>7</v>
      </c>
      <c r="I6" s="2">
        <v>8</v>
      </c>
      <c r="J6" s="2">
        <v>11</v>
      </c>
      <c r="K6" s="2">
        <v>14</v>
      </c>
      <c r="L6" s="2">
        <v>18</v>
      </c>
      <c r="M6" s="2">
        <v>22</v>
      </c>
    </row>
    <row r="7" spans="1:13" x14ac:dyDescent="0.3">
      <c r="A7" t="s">
        <v>1</v>
      </c>
      <c r="B7">
        <f>$B2/B2-1</f>
        <v>0</v>
      </c>
      <c r="C7">
        <f t="shared" ref="C7:M7" si="0">$B2/C2-1</f>
        <v>5.4886725788212187E-2</v>
      </c>
      <c r="D7">
        <f t="shared" si="0"/>
        <v>0.11870971578567402</v>
      </c>
      <c r="E7">
        <f t="shared" si="0"/>
        <v>-2.5673305831682702E-2</v>
      </c>
      <c r="F7">
        <f t="shared" si="0"/>
        <v>1.8406210243939292E-2</v>
      </c>
      <c r="G7">
        <f t="shared" si="0"/>
        <v>7.9379179970767932E-2</v>
      </c>
      <c r="H7">
        <f t="shared" si="0"/>
        <v>-8.4128421913055473E-2</v>
      </c>
      <c r="I7">
        <f t="shared" si="0"/>
        <v>-7.7078698975804327E-2</v>
      </c>
      <c r="J7">
        <f t="shared" si="0"/>
        <v>-0.23721628194995847</v>
      </c>
      <c r="K7">
        <f t="shared" si="0"/>
        <v>-0.23172290063455536</v>
      </c>
      <c r="L7">
        <f t="shared" si="0"/>
        <v>-0.36598854766960831</v>
      </c>
      <c r="M7">
        <f t="shared" si="0"/>
        <v>-0.46991872933011025</v>
      </c>
    </row>
    <row r="8" spans="1:13" x14ac:dyDescent="0.3">
      <c r="A8" t="s">
        <v>2</v>
      </c>
      <c r="B8">
        <f t="shared" ref="B8:M8" si="1">$B3/B3-1</f>
        <v>0</v>
      </c>
      <c r="C8">
        <f t="shared" si="1"/>
        <v>0.16901679824847293</v>
      </c>
      <c r="D8">
        <f t="shared" si="1"/>
        <v>0.43914575712744286</v>
      </c>
      <c r="E8">
        <f t="shared" si="1"/>
        <v>0.69615852953223567</v>
      </c>
      <c r="F8">
        <f t="shared" si="1"/>
        <v>0.82948711569806344</v>
      </c>
      <c r="G8">
        <f t="shared" si="1"/>
        <v>0.87589678327071052</v>
      </c>
      <c r="H8">
        <f t="shared" si="1"/>
        <v>0.79643092218730782</v>
      </c>
      <c r="I8">
        <f t="shared" si="1"/>
        <v>0.64437679586965135</v>
      </c>
      <c r="J8">
        <f t="shared" si="1"/>
        <v>0.75367943382890967</v>
      </c>
      <c r="K8">
        <f t="shared" si="1"/>
        <v>0.52937293756965342</v>
      </c>
      <c r="L8">
        <f t="shared" si="1"/>
        <v>0.35001375449327288</v>
      </c>
      <c r="M8">
        <f t="shared" si="1"/>
        <v>0.19741982740591402</v>
      </c>
    </row>
    <row r="9" spans="1:13" x14ac:dyDescent="0.3">
      <c r="A9" t="s">
        <v>3</v>
      </c>
      <c r="B9">
        <f t="shared" ref="B9:M9" si="2">$B4/B4-1</f>
        <v>0</v>
      </c>
      <c r="C9">
        <f t="shared" si="2"/>
        <v>0.1437018228503486</v>
      </c>
      <c r="D9">
        <f t="shared" si="2"/>
        <v>0.12608958421686767</v>
      </c>
      <c r="E9">
        <f t="shared" si="2"/>
        <v>0.22741246740267096</v>
      </c>
      <c r="F9">
        <f t="shared" si="2"/>
        <v>8.3544424378171334E-2</v>
      </c>
      <c r="G9">
        <f t="shared" si="2"/>
        <v>5.2084773277516927E-2</v>
      </c>
      <c r="H9">
        <f t="shared" si="2"/>
        <v>1.6418950030046009E-2</v>
      </c>
      <c r="I9">
        <f t="shared" si="2"/>
        <v>6.2012849013390214E-2</v>
      </c>
      <c r="J9">
        <f t="shared" si="2"/>
        <v>5.4987845350786824E-3</v>
      </c>
      <c r="K9">
        <f t="shared" si="2"/>
        <v>-1.9188354446108669E-2</v>
      </c>
      <c r="L9">
        <f t="shared" si="2"/>
        <v>1.3087439849795768E-2</v>
      </c>
      <c r="M9">
        <f t="shared" si="2"/>
        <v>-6.4548855608117406E-2</v>
      </c>
    </row>
    <row r="11" spans="1:13" x14ac:dyDescent="0.3">
      <c r="B11">
        <v>1</v>
      </c>
      <c r="C11">
        <v>2</v>
      </c>
      <c r="D11">
        <v>3</v>
      </c>
      <c r="E11">
        <v>4</v>
      </c>
      <c r="F11">
        <v>5</v>
      </c>
      <c r="G11">
        <v>6</v>
      </c>
      <c r="H11">
        <v>7</v>
      </c>
      <c r="I11">
        <v>8</v>
      </c>
      <c r="J11">
        <v>11</v>
      </c>
      <c r="K11">
        <v>14</v>
      </c>
      <c r="L11">
        <v>18</v>
      </c>
      <c r="M11">
        <v>22</v>
      </c>
    </row>
    <row r="12" spans="1:13" x14ac:dyDescent="0.3">
      <c r="A12" t="s">
        <v>1</v>
      </c>
      <c r="B12">
        <v>0</v>
      </c>
      <c r="C12">
        <v>5.4886725788212187E-2</v>
      </c>
      <c r="D12">
        <v>0.11870971578567402</v>
      </c>
      <c r="E12">
        <v>-2.5673305831682702E-2</v>
      </c>
      <c r="F12">
        <v>1.8406210243939292E-2</v>
      </c>
      <c r="G12">
        <v>7.9379179970767932E-2</v>
      </c>
      <c r="H12">
        <v>-8.4128421913055473E-2</v>
      </c>
      <c r="I12">
        <v>-7.7078698975804327E-2</v>
      </c>
      <c r="J12">
        <v>-0.23721628194995847</v>
      </c>
      <c r="K12">
        <v>-0.23172290063455536</v>
      </c>
      <c r="L12">
        <v>-0.36598854766960831</v>
      </c>
      <c r="M12">
        <v>-0.46991872933011025</v>
      </c>
    </row>
    <row r="13" spans="1:13" x14ac:dyDescent="0.3">
      <c r="A13" t="s">
        <v>2</v>
      </c>
      <c r="B13">
        <v>0</v>
      </c>
      <c r="C13">
        <v>0.16901679824847293</v>
      </c>
      <c r="D13">
        <v>0.43914575712744286</v>
      </c>
      <c r="E13">
        <v>0.69615852953223567</v>
      </c>
      <c r="F13">
        <v>0.82948711569806344</v>
      </c>
      <c r="G13">
        <v>0.87589678327071052</v>
      </c>
      <c r="H13">
        <v>0.79643092218730782</v>
      </c>
      <c r="I13">
        <v>0.64437679586965135</v>
      </c>
      <c r="J13">
        <v>0.75367943382890967</v>
      </c>
      <c r="K13">
        <v>0.52937293756965342</v>
      </c>
      <c r="L13">
        <v>0.35001375449327288</v>
      </c>
      <c r="M13">
        <v>0.19741982740591402</v>
      </c>
    </row>
    <row r="14" spans="1:13" x14ac:dyDescent="0.3">
      <c r="A14" t="s">
        <v>3</v>
      </c>
      <c r="B14">
        <v>0</v>
      </c>
      <c r="C14">
        <v>0.1437018228503486</v>
      </c>
      <c r="D14">
        <v>0.12608958421686767</v>
      </c>
      <c r="E14">
        <v>0.22741246740267096</v>
      </c>
      <c r="F14">
        <v>8.3544424378171334E-2</v>
      </c>
      <c r="G14">
        <v>5.2084773277516927E-2</v>
      </c>
      <c r="H14">
        <v>1.6418950030046009E-2</v>
      </c>
      <c r="I14">
        <v>6.2012849013390214E-2</v>
      </c>
      <c r="J14">
        <v>5.4987845350786824E-3</v>
      </c>
      <c r="K14">
        <v>-1.9188354446108669E-2</v>
      </c>
      <c r="L14">
        <v>1.3087439849795768E-2</v>
      </c>
      <c r="M14">
        <v>-6.4548855608117406E-2</v>
      </c>
    </row>
    <row r="16" spans="1:13" x14ac:dyDescent="0.3">
      <c r="B16" t="s">
        <v>1</v>
      </c>
      <c r="C16" t="s">
        <v>2</v>
      </c>
      <c r="D16" t="s">
        <v>3</v>
      </c>
      <c r="G16" t="s">
        <v>1</v>
      </c>
      <c r="H16" t="s">
        <v>2</v>
      </c>
      <c r="I16" t="s">
        <v>3</v>
      </c>
    </row>
    <row r="17" spans="1:9" x14ac:dyDescent="0.3">
      <c r="A17">
        <v>1</v>
      </c>
      <c r="B17">
        <v>0</v>
      </c>
      <c r="C17">
        <v>0</v>
      </c>
      <c r="D17">
        <v>0</v>
      </c>
      <c r="F17">
        <v>1</v>
      </c>
      <c r="G17" s="2">
        <v>2.144571</v>
      </c>
      <c r="H17" s="2">
        <v>0.73171379999999997</v>
      </c>
      <c r="I17" s="2">
        <v>10.419269999999999</v>
      </c>
    </row>
    <row r="18" spans="1:9" x14ac:dyDescent="0.3">
      <c r="A18">
        <v>2</v>
      </c>
      <c r="B18">
        <v>5.4886725788212187E-2</v>
      </c>
      <c r="C18">
        <v>0.16901679824847293</v>
      </c>
      <c r="D18">
        <v>0.1437018228503486</v>
      </c>
      <c r="F18">
        <v>2</v>
      </c>
      <c r="G18" s="2">
        <v>2.0329869999999999</v>
      </c>
      <c r="H18" s="2">
        <v>0.62592239999999999</v>
      </c>
      <c r="I18" s="2">
        <v>9.1101279999999996</v>
      </c>
    </row>
    <row r="19" spans="1:9" x14ac:dyDescent="0.3">
      <c r="A19">
        <v>3</v>
      </c>
      <c r="B19">
        <v>0.11870971578567402</v>
      </c>
      <c r="C19">
        <v>0.43914575712744286</v>
      </c>
      <c r="D19">
        <v>0.12608958421686767</v>
      </c>
      <c r="F19">
        <v>3</v>
      </c>
      <c r="G19" s="2">
        <v>1.9170039999999999</v>
      </c>
      <c r="H19" s="2">
        <v>0.5084362</v>
      </c>
      <c r="I19" s="2">
        <v>9.2526119999999992</v>
      </c>
    </row>
    <row r="20" spans="1:9" x14ac:dyDescent="0.3">
      <c r="A20">
        <v>4</v>
      </c>
      <c r="B20">
        <v>-2.5673305831682702E-2</v>
      </c>
      <c r="C20">
        <v>0.69615852953223567</v>
      </c>
      <c r="D20">
        <v>0.22741246740267096</v>
      </c>
      <c r="F20">
        <v>4</v>
      </c>
      <c r="G20" s="2">
        <v>2.2010800000000001</v>
      </c>
      <c r="H20" s="2">
        <v>0.43139470000000002</v>
      </c>
      <c r="I20" s="2">
        <v>8.4888089999999998</v>
      </c>
    </row>
    <row r="21" spans="1:9" x14ac:dyDescent="0.3">
      <c r="A21">
        <v>5</v>
      </c>
      <c r="B21">
        <v>1.8406210243939292E-2</v>
      </c>
      <c r="C21">
        <v>0.82948711569806344</v>
      </c>
      <c r="D21">
        <v>8.3544424378171334E-2</v>
      </c>
      <c r="F21">
        <v>5</v>
      </c>
      <c r="G21" s="2">
        <v>2.1058110000000001</v>
      </c>
      <c r="H21" s="2">
        <v>0.39995570000000003</v>
      </c>
      <c r="I21" s="2">
        <v>9.6159140000000001</v>
      </c>
    </row>
    <row r="22" spans="1:9" x14ac:dyDescent="0.3">
      <c r="A22">
        <v>6</v>
      </c>
      <c r="B22">
        <v>7.9379179970767932E-2</v>
      </c>
      <c r="C22">
        <v>0.87589678327071052</v>
      </c>
      <c r="D22">
        <v>5.2084773277516927E-2</v>
      </c>
      <c r="F22">
        <v>6</v>
      </c>
      <c r="G22" s="2">
        <v>1.986856</v>
      </c>
      <c r="H22" s="2">
        <v>0.39006079999999999</v>
      </c>
      <c r="I22" s="2">
        <v>9.9034510000000004</v>
      </c>
    </row>
    <row r="23" spans="1:9" x14ac:dyDescent="0.3">
      <c r="A23">
        <v>7</v>
      </c>
      <c r="B23">
        <v>-8.4128421913055473E-2</v>
      </c>
      <c r="C23">
        <v>0.79643092218730782</v>
      </c>
      <c r="D23">
        <v>1.6418950030046009E-2</v>
      </c>
      <c r="F23">
        <v>7</v>
      </c>
      <c r="G23" s="2">
        <v>2.3415629999999998</v>
      </c>
      <c r="H23" s="2">
        <v>0.40731529999999999</v>
      </c>
      <c r="I23" s="2">
        <v>10.250959999999999</v>
      </c>
    </row>
    <row r="24" spans="1:9" x14ac:dyDescent="0.3">
      <c r="A24">
        <v>8</v>
      </c>
      <c r="B24">
        <v>-7.7078698975804327E-2</v>
      </c>
      <c r="C24">
        <v>0.64437679586965135</v>
      </c>
      <c r="D24">
        <v>6.2012849013390214E-2</v>
      </c>
      <c r="F24">
        <v>8</v>
      </c>
      <c r="G24" s="2">
        <v>2.323677</v>
      </c>
      <c r="H24" s="2">
        <v>0.44497940000000002</v>
      </c>
      <c r="I24" s="2">
        <v>9.8108699999999995</v>
      </c>
    </row>
    <row r="25" spans="1:9" x14ac:dyDescent="0.3">
      <c r="A25">
        <v>11</v>
      </c>
      <c r="B25">
        <v>-0.23721628194995847</v>
      </c>
      <c r="C25">
        <v>0.75367943382890967</v>
      </c>
      <c r="D25">
        <v>5.4987845350786824E-3</v>
      </c>
      <c r="F25">
        <v>11</v>
      </c>
      <c r="G25" s="2">
        <v>2.8115060000000001</v>
      </c>
      <c r="H25" s="2">
        <v>0.41724489999999997</v>
      </c>
      <c r="I25" s="2">
        <v>10.36229</v>
      </c>
    </row>
    <row r="26" spans="1:9" x14ac:dyDescent="0.3">
      <c r="A26">
        <v>14</v>
      </c>
      <c r="B26">
        <v>-0.23172290063455536</v>
      </c>
      <c r="C26">
        <v>0.52937293756965342</v>
      </c>
      <c r="D26">
        <v>-1.9188354446108669E-2</v>
      </c>
      <c r="F26">
        <v>14</v>
      </c>
      <c r="G26" s="2">
        <v>2.7914029999999999</v>
      </c>
      <c r="H26" s="2">
        <v>0.47844039999999999</v>
      </c>
      <c r="I26" s="2">
        <v>10.62311</v>
      </c>
    </row>
    <row r="27" spans="1:9" x14ac:dyDescent="0.3">
      <c r="A27">
        <v>18</v>
      </c>
      <c r="B27">
        <v>-0.36598854766960831</v>
      </c>
      <c r="C27">
        <v>0.35001375449327288</v>
      </c>
      <c r="D27">
        <v>1.3087439849795768E-2</v>
      </c>
      <c r="F27">
        <v>18</v>
      </c>
      <c r="G27" s="2">
        <v>3.3825430000000001</v>
      </c>
      <c r="H27" s="2">
        <v>0.54200470000000001</v>
      </c>
      <c r="I27" s="2">
        <v>10.28467</v>
      </c>
    </row>
    <row r="28" spans="1:9" x14ac:dyDescent="0.3">
      <c r="A28">
        <v>22</v>
      </c>
      <c r="B28">
        <v>-0.46991872933011025</v>
      </c>
      <c r="C28">
        <v>0.19741982740591402</v>
      </c>
      <c r="D28">
        <v>-6.4548855608117406E-2</v>
      </c>
      <c r="F28">
        <v>22</v>
      </c>
      <c r="G28" s="2">
        <v>4.0457400000000003</v>
      </c>
      <c r="H28" s="2">
        <v>0.61107540000000005</v>
      </c>
      <c r="I28" s="2">
        <v>11.13823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FAES, GABRIEL (PGT)</dc:creator>
  <cp:lastModifiedBy>FAES, GABRIEL (PGT)</cp:lastModifiedBy>
  <dcterms:created xsi:type="dcterms:W3CDTF">2026-01-23T23:55:20Z</dcterms:created>
  <dcterms:modified xsi:type="dcterms:W3CDTF">2026-02-09T11:55:28Z</dcterms:modified>
</cp:coreProperties>
</file>